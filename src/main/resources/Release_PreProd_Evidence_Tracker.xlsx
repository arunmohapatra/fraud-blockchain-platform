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Release Tracker" sheetId="3" state="visible" r:id="rId5"/>
  </sheets>
  <definedNames>
    <definedName function="false" hidden="true" localSheetId="2" name="_xlnm._FilterDatabase" vbProcedure="false">'Release Tracker'!$A$2:$Z$34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<sst xmlns="http://schemas.openxmlformats.org/spreadsheetml/2006/main" count="131" uniqueCount="117">
  <si>
    <t xml:space="preserve">Pre-Production Release Evidence Tracker – Lloyds Banking Group</t>
  </si>
  <si>
    <t xml:space="preserve">Multi-release tracker for CI/CD pipeline governance and production deployment approval</t>
  </si>
  <si>
    <t xml:space="preserve">PURPOSE</t>
  </si>
  <si>
    <t xml:space="preserve">Use this workbook to track pre-production validation evidence for every release moving through the CI/CD pipeline. One row = one release. The Lead Solution Architect (or delegated approver) should only approve a release for Production once all required evidence is captured and the Overall RAG Status is Green.</t>
  </si>
  <si>
    <t xml:space="preserve">HOW TO USE</t>
  </si>
  <si>
    <t xml:space="preserve">1. Add a new row to the 'Release Tracker' sheet for each release as it enters the pipeline.</t>
  </si>
  <si>
    <t xml:space="preserve">2. Update the status columns as each stage of pre-prod validation is completed (functional testing, security scan, performance testing, UAT sign-off, rollback test, post-deployment plan).</t>
  </si>
  <si>
    <t xml:space="preserve">3. Link to the underlying evidence (test reports, scan results, sign-off emails, the companion Word evidence form, etc.) in the 'Evidence Repository Link' column.</t>
  </si>
  <si>
    <t xml:space="preserve">4. The 'Overall RAG Status' and 'Approval Status' columns use dropdown lists — select the appropriate value; colour formatting is applied automatically.</t>
  </si>
  <si>
    <t xml:space="preserve">5. The Approver records their decision, comments, and approval date directly in the tracker — this becomes the audit trail.</t>
  </si>
  <si>
    <t xml:space="preserve">COMPANION TEMPLATE</t>
  </si>
  <si>
    <t xml:space="preserve">For a detailed, per-release evidence pack (with full testing tables, rollback plan, and sign-off form), use the companion Word document: 'Release_PreProd_Evidence_Template.docx'. Attach the completed Word form as evidence and link it in this tracker.</t>
  </si>
  <si>
    <t xml:space="preserve">COLUMN GUIDE</t>
  </si>
  <si>
    <t xml:space="preserve">Column</t>
  </si>
  <si>
    <t xml:space="preserve">• Release ID — Unique identifier for the release (e.g. REL-2026-0417).</t>
  </si>
  <si>
    <t xml:space="preserve">• Application / Service — Name of the application, service, or system being deployed.</t>
  </si>
  <si>
    <t xml:space="preserve">• Release Version / Build — Version number or build identifier from the CI/CD pipeline.</t>
  </si>
  <si>
    <t xml:space="preserve">• Change Request (CR) # — Reference number from the ITSM / change management tool.</t>
  </si>
  <si>
    <t xml:space="preserve">• Release Type — Standard, Emergency, or Major.</t>
  </si>
  <si>
    <t xml:space="preserve">• Business Criticality — Low, Medium, High, or Critical.</t>
  </si>
  <si>
    <t xml:space="preserve">• Release Manager — Person coordinating the release.</t>
  </si>
  <si>
    <t xml:space="preserve">• Lead Solution Architect (Approver) — Person accountable for reviewing evidence and approving production deployment.</t>
  </si>
  <si>
    <t xml:space="preserve">• Target Prod Deployment Date — Planned date/time of production go-live.</t>
  </si>
  <si>
    <t xml:space="preserve">• Pipeline Build / Run # — CI/CD pipeline run identifier or link.</t>
  </si>
  <si>
    <t xml:space="preserve">• Pre-Prod Deployment Date — Date the build was deployed to the pre-production environment.</t>
  </si>
  <si>
    <t xml:space="preserve">• Environment Parity Confirmed — Yes/No/Partial — confirms pre-prod configuration matches production.</t>
  </si>
  <si>
    <t xml:space="preserve">• Functional Testing Status — Not Started / In Progress / Pass / Fail / Conditional Pass.</t>
  </si>
  <si>
    <t xml:space="preserve">• Functional Test Pass % — Percentage of functional/regression test cases passed.</t>
  </si>
  <si>
    <t xml:space="preserve">• Security Scan Status — Not Started / In Progress / Pass / Fail / Conditional Pass.</t>
  </si>
  <si>
    <t xml:space="preserve">• Security – Critical/High Open — Count of open Critical/High vulnerabilities from SAST/DAST scans.</t>
  </si>
  <si>
    <t xml:space="preserve">• Performance Test Status — Not Started / In Progress / Pass / Fail / Conditional Pass.</t>
  </si>
  <si>
    <t xml:space="preserve">• UAT Sign-off Status — Not Started / In Progress / Pass / Fail / Conditional Pass.</t>
  </si>
  <si>
    <t xml:space="preserve">• Rollback Plan Tested — Yes/No/Partial — confirms rollback was validated in pre-prod.</t>
  </si>
  <si>
    <t xml:space="preserve">• Post-Deployment Validation Plan Ready — Yes/No/Partial — confirms a post go-live validation/smoke-test plan exists.</t>
  </si>
  <si>
    <t xml:space="preserve">• Known Risks / Issues — Free text summary of any accepted risks or open issues.</t>
  </si>
  <si>
    <t xml:space="preserve">• Evidence Repository Link — Link/path to the evidence pack (e.g. completed Word evidence form, test reports).</t>
  </si>
  <si>
    <t xml:space="preserve">• Overall RAG Status — Red / Amber / Green — overall readiness for production approval.</t>
  </si>
  <si>
    <t xml:space="preserve">• Approval Status — Pending / Approved / Approved with Conditions / Rejected.</t>
  </si>
  <si>
    <t xml:space="preserve">• Approver Comments — Approver's notes, conditions, or reasons for rejection.</t>
  </si>
  <si>
    <t xml:space="preserve">• Approval Date — Date the approval decision was recorded.</t>
  </si>
  <si>
    <t xml:space="preserve">Release Governance Dashboard</t>
  </si>
  <si>
    <t xml:space="preserve">Auto-summarised from 'Release Tracker'</t>
  </si>
  <si>
    <t xml:space="preserve">Overall RAG Status</t>
  </si>
  <si>
    <t xml:space="preserve">Green</t>
  </si>
  <si>
    <t xml:space="preserve">Amber</t>
  </si>
  <si>
    <t xml:space="preserve">Red</t>
  </si>
  <si>
    <t xml:space="preserve">Approval Status</t>
  </si>
  <si>
    <t xml:space="preserve">Pending</t>
  </si>
  <si>
    <t xml:space="preserve">Approved</t>
  </si>
  <si>
    <t xml:space="preserve">Approved with Conditions</t>
  </si>
  <si>
    <t xml:space="preserve">Rejected</t>
  </si>
  <si>
    <t xml:space="preserve">Total Releases Tracked</t>
  </si>
  <si>
    <t xml:space="preserve">Releases with a Release ID</t>
  </si>
  <si>
    <t xml:space="preserve">Release Details</t>
  </si>
  <si>
    <t xml:space="preserve">Pipeline &amp; Environment</t>
  </si>
  <si>
    <t xml:space="preserve">Testing Evidence</t>
  </si>
  <si>
    <t xml:space="preserve">Readiness</t>
  </si>
  <si>
    <t xml:space="preserve">Approval &amp; Governance</t>
  </si>
  <si>
    <t xml:space="preserve">Release ID</t>
  </si>
  <si>
    <t xml:space="preserve">Application / Service</t>
  </si>
  <si>
    <t xml:space="preserve">Release Version / Build</t>
  </si>
  <si>
    <t xml:space="preserve">Change Request (CR) #</t>
  </si>
  <si>
    <t xml:space="preserve">Release Type</t>
  </si>
  <si>
    <t xml:space="preserve">Business Criticality</t>
  </si>
  <si>
    <t xml:space="preserve">Release Manager</t>
  </si>
  <si>
    <t xml:space="preserve">Lead Solution Architect (Approver)</t>
  </si>
  <si>
    <t xml:space="preserve">Target Prod Deployment Date</t>
  </si>
  <si>
    <t xml:space="preserve">Pipeline Build / Run #</t>
  </si>
  <si>
    <t xml:space="preserve">Pre-Prod Deployment Date</t>
  </si>
  <si>
    <t xml:space="preserve">Environment Parity Confirmed</t>
  </si>
  <si>
    <t xml:space="preserve">Functional Testing Status</t>
  </si>
  <si>
    <t xml:space="preserve">Functional Test Pass %</t>
  </si>
  <si>
    <t xml:space="preserve">Security Scan Status</t>
  </si>
  <si>
    <t xml:space="preserve">Security – Critical/High Open</t>
  </si>
  <si>
    <t xml:space="preserve">Performance Test Status</t>
  </si>
  <si>
    <t xml:space="preserve">UAT Sign-off Status</t>
  </si>
  <si>
    <t xml:space="preserve">Rollback Plan Tested</t>
  </si>
  <si>
    <t xml:space="preserve">Post-Deployment Validation Plan Ready</t>
  </si>
  <si>
    <t xml:space="preserve">Known Risks / Issues</t>
  </si>
  <si>
    <t xml:space="preserve">Evidence Repository Link</t>
  </si>
  <si>
    <t xml:space="preserve">Approver Comments</t>
  </si>
  <si>
    <t xml:space="preserve">Approval Date</t>
  </si>
  <si>
    <t xml:space="preserve">REL-2026-0417</t>
  </si>
  <si>
    <t xml:space="preserve">Payments Gateway</t>
  </si>
  <si>
    <t xml:space="preserve">v3.4.1</t>
  </si>
  <si>
    <t xml:space="preserve">CR0089213</t>
  </si>
  <si>
    <t xml:space="preserve">Standard</t>
  </si>
  <si>
    <t xml:space="preserve">High</t>
  </si>
  <si>
    <t xml:space="preserve">A. Sharma</t>
  </si>
  <si>
    <t xml:space="preserve">R. Whitfield</t>
  </si>
  <si>
    <t xml:space="preserve">2026-07-15</t>
  </si>
  <si>
    <t xml:space="preserve">Build #2451</t>
  </si>
  <si>
    <t xml:space="preserve">2026-07-08</t>
  </si>
  <si>
    <t xml:space="preserve">Yes</t>
  </si>
  <si>
    <t xml:space="preserve">Pass</t>
  </si>
  <si>
    <t xml:space="preserve">None outstanding</t>
  </si>
  <si>
    <t xml:space="preserve">\\evidence\REL-2026-0417\</t>
  </si>
  <si>
    <t xml:space="preserve">All evidence verified; approved for go-live</t>
  </si>
  <si>
    <t xml:space="preserve">2026-07-10</t>
  </si>
  <si>
    <t xml:space="preserve">REL-2026-0418</t>
  </si>
  <si>
    <t xml:space="preserve">Mobile Banking App</t>
  </si>
  <si>
    <t xml:space="preserve">v9.2.0</t>
  </si>
  <si>
    <t xml:space="preserve">CR0089240</t>
  </si>
  <si>
    <t xml:space="preserve">Major</t>
  </si>
  <si>
    <t xml:space="preserve">Critical</t>
  </si>
  <si>
    <t xml:space="preserve">T. Nolan</t>
  </si>
  <si>
    <t xml:space="preserve">2026-07-20</t>
  </si>
  <si>
    <t xml:space="preserve">Build #2467</t>
  </si>
  <si>
    <t xml:space="preserve">2026-07-12</t>
  </si>
  <si>
    <t xml:space="preserve">Partial</t>
  </si>
  <si>
    <t xml:space="preserve">Conditional Pass</t>
  </si>
  <si>
    <t xml:space="preserve">In Progress</t>
  </si>
  <si>
    <t xml:space="preserve">Not Started</t>
  </si>
  <si>
    <t xml:space="preserve">No</t>
  </si>
  <si>
    <t xml:space="preserve">2 High vulnerabilities being remediated; rollback test pending</t>
  </si>
  <si>
    <t xml:space="preserve">\\evidence\REL-2026-0418\</t>
  </si>
  <si>
    <t xml:space="preserve">Awaiting security remediation and rollback test evidence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</si>
</sst>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0.5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.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Calibri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Calibri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39.5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26.85" hidden="false" customHeight="false" outlineLevel="0" collapsed="false">
      <c r="A9" s="3" t="s">
        <v>6</v>
      </c>
    </row>
    <row r="10" customFormat="false" ht="26.85" hidden="false" customHeight="false" outlineLevel="0" collapsed="false">
      <c r="A10" s="3" t="s">
        <v>7</v>
      </c>
    </row>
    <row r="11" customFormat="false" ht="26.8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39.5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9" customFormat="false" ht="15" hidden="false" customHeight="false" outlineLevel="0" collapsed="false">
      <c r="A19" s="5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3" t="s">
        <v>32</v>
      </c>
    </row>
    <row r="39" customFormat="false" ht="15" hidden="false" customHeight="false" outlineLevel="0" collapsed="false">
      <c r="A39" s="3" t="s">
        <v>33</v>
      </c>
    </row>
    <row r="40" customFormat="false" ht="15" hidden="false" customHeight="false" outlineLevel="0" collapsed="false">
      <c r="A40" s="3" t="s">
        <v>34</v>
      </c>
    </row>
    <row r="41" customFormat="false" ht="15" hidden="false" customHeight="false" outlineLevel="0" collapsed="false">
      <c r="A41" s="3" t="s">
        <v>35</v>
      </c>
    </row>
    <row r="42" customFormat="false" ht="15" hidden="false" customHeight="false" outlineLevel="0" collapsed="false">
      <c r="A42" s="3" t="s">
        <v>36</v>
      </c>
    </row>
    <row r="43" customFormat="false" ht="15" hidden="false" customHeight="false" outlineLevel="0" collapsed="false">
      <c r="A43" s="3" t="s">
        <v>37</v>
      </c>
    </row>
    <row r="44" customFormat="false" ht="15" hidden="false" customHeight="false" outlineLevel="0" collapsed="false">
      <c r="A44" s="3" t="s">
        <v>38</v>
      </c>
    </row>
    <row r="45" customFormat="false" ht="15" hidden="false" customHeight="false" outlineLevel="0" collapsed="false">
      <c r="A45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40</v>
      </c>
    </row>
    <row r="2" customFormat="false" ht="15" hidden="false" customHeight="false" outlineLevel="0" collapsed="false">
      <c r="A2" s="6" t="s">
        <v>41</v>
      </c>
    </row>
    <row r="4" customFormat="false" ht="15" hidden="false" customHeight="false" outlineLevel="0" collapsed="false">
      <c r="A4" s="7" t="s">
        <v>42</v>
      </c>
      <c r="B4" s="7"/>
    </row>
    <row r="5" customFormat="false" ht="15" hidden="false" customHeight="false" outlineLevel="0" collapsed="false">
      <c r="A5" s="8" t="s">
        <v>43</v>
      </c>
      <c r="B5" s="9" t="n">
        <f aca="false">COUNTIF('Release Tracker'!W3:W34,"Green")</f>
        <v>1</v>
      </c>
    </row>
    <row r="6" customFormat="false" ht="15" hidden="false" customHeight="false" outlineLevel="0" collapsed="false">
      <c r="A6" s="8" t="s">
        <v>44</v>
      </c>
      <c r="B6" s="9" t="n">
        <f aca="false">COUNTIF('Release Tracker'!W3:W34,"Amber")</f>
        <v>1</v>
      </c>
    </row>
    <row r="7" customFormat="false" ht="15" hidden="false" customHeight="false" outlineLevel="0" collapsed="false">
      <c r="A7" s="8" t="s">
        <v>45</v>
      </c>
      <c r="B7" s="9" t="n">
        <f aca="false">COUNTIF('Release Tracker'!W3:W34,"Red")</f>
        <v>0</v>
      </c>
    </row>
    <row r="9" customFormat="false" ht="15" hidden="false" customHeight="false" outlineLevel="0" collapsed="false">
      <c r="A9" s="10" t="s">
        <v>46</v>
      </c>
      <c r="B9" s="10"/>
    </row>
    <row r="10" customFormat="false" ht="15" hidden="false" customHeight="false" outlineLevel="0" collapsed="false">
      <c r="A10" s="8" t="s">
        <v>47</v>
      </c>
      <c r="B10" s="9" t="n">
        <f aca="false">COUNTIF('Release Tracker'!X3:X34,"Pending")</f>
        <v>1</v>
      </c>
    </row>
    <row r="11" customFormat="false" ht="15" hidden="false" customHeight="false" outlineLevel="0" collapsed="false">
      <c r="A11" s="8" t="s">
        <v>48</v>
      </c>
      <c r="B11" s="9" t="n">
        <f aca="false">COUNTIF('Release Tracker'!X3:X34,"Approved")</f>
        <v>1</v>
      </c>
    </row>
    <row r="12" customFormat="false" ht="15" hidden="false" customHeight="false" outlineLevel="0" collapsed="false">
      <c r="A12" s="8" t="s">
        <v>49</v>
      </c>
      <c r="B12" s="9" t="n">
        <f aca="false">COUNTIF('Release Tracker'!X3:X34,"Approved with Conditions")</f>
        <v>0</v>
      </c>
    </row>
    <row r="13" customFormat="false" ht="15" hidden="false" customHeight="false" outlineLevel="0" collapsed="false">
      <c r="A13" s="8" t="s">
        <v>50</v>
      </c>
      <c r="B13" s="9" t="n">
        <f aca="false">COUNTIF('Release Tracker'!X3:X34,"Rejected")</f>
        <v>0</v>
      </c>
    </row>
    <row r="15" customFormat="false" ht="15" hidden="false" customHeight="false" outlineLevel="0" collapsed="false">
      <c r="A15" s="10" t="s">
        <v>51</v>
      </c>
      <c r="B15" s="10"/>
    </row>
    <row r="16" customFormat="false" ht="15" hidden="false" customHeight="false" outlineLevel="0" collapsed="false">
      <c r="A16" s="8" t="s">
        <v>52</v>
      </c>
      <c r="B16" s="9" t="n">
        <f aca="false">COUNTA('Release Tracker'!A3:A34)</f>
        <v>2</v>
      </c>
    </row>
  </sheetData>
  <mergeCells count="3">
    <mergeCell ref="A4:B4"/>
    <mergeCell ref="A9:B9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1" min="10" style="0" width="18"/>
    <col collapsed="false" customWidth="true" hidden="false" outlineLevel="0" max="13" min="12" style="0" width="16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8" min="17" style="0" width="16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1" min="21" style="0" width="22"/>
    <col collapsed="false" customWidth="true" hidden="false" outlineLevel="0" max="22" min="22" style="0" width="26"/>
    <col collapsed="false" customWidth="true" hidden="false" outlineLevel="0" max="23" min="23" style="0" width="14"/>
    <col collapsed="false" customWidth="true" hidden="false" outlineLevel="0" max="24" min="24" style="0" width="20"/>
    <col collapsed="false" customWidth="true" hidden="false" outlineLevel="0" max="25" min="25" style="0" width="26"/>
    <col collapsed="false" customWidth="true" hidden="false" outlineLevel="0" max="26" min="26" style="0" width="14"/>
  </cols>
  <sheetData>
    <row r="1" customFormat="false" ht="30" hidden="false" customHeight="true" outlineLevel="0" collapsed="false">
      <c r="A1" s="11" t="s">
        <v>53</v>
      </c>
      <c r="B1" s="11"/>
      <c r="C1" s="11"/>
      <c r="D1" s="11"/>
      <c r="E1" s="11"/>
      <c r="F1" s="11"/>
      <c r="G1" s="11"/>
      <c r="H1" s="11"/>
      <c r="I1" s="11" t="s">
        <v>54</v>
      </c>
      <c r="J1" s="11"/>
      <c r="K1" s="11"/>
      <c r="L1" s="11"/>
      <c r="M1" s="11" t="s">
        <v>55</v>
      </c>
      <c r="N1" s="11"/>
      <c r="O1" s="11"/>
      <c r="P1" s="11"/>
      <c r="Q1" s="11"/>
      <c r="R1" s="11"/>
      <c r="S1" s="11" t="s">
        <v>56</v>
      </c>
      <c r="T1" s="11"/>
      <c r="U1" s="11"/>
      <c r="V1" s="11"/>
      <c r="W1" s="11" t="s">
        <v>57</v>
      </c>
      <c r="X1" s="11"/>
      <c r="Y1" s="11"/>
      <c r="Z1" s="11"/>
    </row>
    <row r="2" customFormat="false" ht="43.5" hidden="false" customHeight="true" outlineLevel="0" collapsed="false">
      <c r="A2" s="12" t="s">
        <v>58</v>
      </c>
      <c r="B2" s="12" t="s">
        <v>59</v>
      </c>
      <c r="C2" s="12" t="s">
        <v>60</v>
      </c>
      <c r="D2" s="12" t="s">
        <v>61</v>
      </c>
      <c r="E2" s="12" t="s">
        <v>62</v>
      </c>
      <c r="F2" s="12" t="s">
        <v>63</v>
      </c>
      <c r="G2" s="12" t="s">
        <v>64</v>
      </c>
      <c r="H2" s="12" t="s">
        <v>65</v>
      </c>
      <c r="I2" s="12" t="s">
        <v>66</v>
      </c>
      <c r="J2" s="12" t="s">
        <v>67</v>
      </c>
      <c r="K2" s="12" t="s">
        <v>68</v>
      </c>
      <c r="L2" s="12" t="s">
        <v>69</v>
      </c>
      <c r="M2" s="12" t="s">
        <v>70</v>
      </c>
      <c r="N2" s="12" t="s">
        <v>71</v>
      </c>
      <c r="O2" s="12" t="s">
        <v>72</v>
      </c>
      <c r="P2" s="12" t="s">
        <v>73</v>
      </c>
      <c r="Q2" s="12" t="s">
        <v>74</v>
      </c>
      <c r="R2" s="12" t="s">
        <v>75</v>
      </c>
      <c r="S2" s="12" t="s">
        <v>76</v>
      </c>
      <c r="T2" s="12" t="s">
        <v>77</v>
      </c>
      <c r="U2" s="12" t="s">
        <v>78</v>
      </c>
      <c r="V2" s="12" t="s">
        <v>79</v>
      </c>
      <c r="W2" s="12" t="s">
        <v>42</v>
      </c>
      <c r="X2" s="12" t="s">
        <v>46</v>
      </c>
      <c r="Y2" s="12" t="s">
        <v>80</v>
      </c>
      <c r="Z2" s="12" t="s">
        <v>81</v>
      </c>
    </row>
    <row r="3" customFormat="false" ht="23.85" hidden="false" customHeight="false" outlineLevel="0" collapsed="false">
      <c r="A3" s="13" t="s">
        <v>82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92</v>
      </c>
      <c r="L3" s="13" t="s">
        <v>93</v>
      </c>
      <c r="M3" s="13" t="s">
        <v>94</v>
      </c>
      <c r="N3" s="14" t="n">
        <v>100</v>
      </c>
      <c r="O3" s="13" t="s">
        <v>94</v>
      </c>
      <c r="P3" s="13" t="n">
        <v>0</v>
      </c>
      <c r="Q3" s="13" t="s">
        <v>94</v>
      </c>
      <c r="R3" s="13" t="s">
        <v>94</v>
      </c>
      <c r="S3" s="13" t="s">
        <v>93</v>
      </c>
      <c r="T3" s="13" t="s">
        <v>93</v>
      </c>
      <c r="U3" s="13" t="s">
        <v>95</v>
      </c>
      <c r="V3" s="13" t="s">
        <v>96</v>
      </c>
      <c r="W3" s="13" t="s">
        <v>43</v>
      </c>
      <c r="X3" s="13" t="s">
        <v>48</v>
      </c>
      <c r="Y3" s="13" t="s">
        <v>97</v>
      </c>
      <c r="Z3" s="13" t="s">
        <v>98</v>
      </c>
    </row>
    <row r="4" customFormat="false" ht="35.05" hidden="false" customHeight="false" outlineLevel="0" collapsed="false">
      <c r="A4" s="13" t="s">
        <v>99</v>
      </c>
      <c r="B4" s="13" t="s">
        <v>100</v>
      </c>
      <c r="C4" s="13" t="s">
        <v>101</v>
      </c>
      <c r="D4" s="13" t="s">
        <v>102</v>
      </c>
      <c r="E4" s="13" t="s">
        <v>103</v>
      </c>
      <c r="F4" s="13" t="s">
        <v>104</v>
      </c>
      <c r="G4" s="13" t="s">
        <v>105</v>
      </c>
      <c r="H4" s="13" t="s">
        <v>89</v>
      </c>
      <c r="I4" s="13" t="s">
        <v>106</v>
      </c>
      <c r="J4" s="13" t="s">
        <v>107</v>
      </c>
      <c r="K4" s="13" t="s">
        <v>108</v>
      </c>
      <c r="L4" s="13" t="s">
        <v>109</v>
      </c>
      <c r="M4" s="13" t="s">
        <v>110</v>
      </c>
      <c r="N4" s="14" t="n">
        <v>92</v>
      </c>
      <c r="O4" s="13" t="s">
        <v>111</v>
      </c>
      <c r="P4" s="13" t="n">
        <v>2</v>
      </c>
      <c r="Q4" s="13" t="s">
        <v>112</v>
      </c>
      <c r="R4" s="13" t="s">
        <v>94</v>
      </c>
      <c r="S4" s="13" t="s">
        <v>113</v>
      </c>
      <c r="T4" s="13" t="s">
        <v>113</v>
      </c>
      <c r="U4" s="13" t="s">
        <v>114</v>
      </c>
      <c r="V4" s="13" t="s">
        <v>115</v>
      </c>
      <c r="W4" s="13" t="s">
        <v>44</v>
      </c>
      <c r="X4" s="13" t="s">
        <v>47</v>
      </c>
      <c r="Y4" s="13" t="s">
        <v>116</v>
      </c>
      <c r="Z4" s="13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15" hidden="false" customHeight="fals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</sheetData>
  <autoFilter ref="A2:Z34"/>
  <mergeCells count="5">
    <mergeCell ref="A1:H1"/>
    <mergeCell ref="I1:L1"/>
    <mergeCell ref="M1:R1"/>
    <mergeCell ref="S1:V1"/>
    <mergeCell ref="W1:Z1"/>
  </mergeCells>
  <conditionalFormatting sqref="W3:W34">
    <cfRule type="cellIs" priority="2" operator="equal" aboveAverage="0" equalAverage="0" bottom="0" percent="0" rank="0" text="" dxfId="10">
      <formula>"Green"</formula>
    </cfRule>
    <cfRule type="cellIs" priority="3" operator="equal" aboveAverage="0" equalAverage="0" bottom="0" percent="0" rank="0" text="" dxfId="11">
      <formula>"Amber"</formula>
    </cfRule>
    <cfRule type="cellIs" priority="4" operator="equal" aboveAverage="0" equalAverage="0" bottom="0" percent="0" rank="0" text="" dxfId="12">
      <formula>"Red"</formula>
    </cfRule>
  </conditionalFormatting>
  <conditionalFormatting sqref="X3:X34">
    <cfRule type="cellIs" priority="5" operator="equal" aboveAverage="0" equalAverage="0" bottom="0" percent="0" rank="0" text="" dxfId="10">
      <formula>"Approved"</formula>
    </cfRule>
    <cfRule type="cellIs" priority="6" operator="equal" aboveAverage="0" equalAverage="0" bottom="0" percent="0" rank="0" text="" dxfId="11">
      <formula>"Approved with Conditions"</formula>
    </cfRule>
    <cfRule type="cellIs" priority="7" operator="equal" aboveAverage="0" equalAverage="0" bottom="0" percent="0" rank="0" text="" dxfId="12">
      <formula>"Rejected"</formula>
    </cfRule>
    <cfRule type="cellIs" priority="8" operator="equal" aboveAverage="0" equalAverage="0" bottom="0" percent="0" rank="0" text="" dxfId="11">
      <formula>"Pending"</formula>
    </cfRule>
  </conditionalFormatting>
  <conditionalFormatting sqref="M3:M34">
    <cfRule type="cellIs" priority="9" operator="equal" aboveAverage="0" equalAverage="0" bottom="0" percent="0" rank="0" text="" dxfId="10">
      <formula>"Pass"</formula>
    </cfRule>
    <cfRule type="cellIs" priority="10" operator="equal" aboveAverage="0" equalAverage="0" bottom="0" percent="0" rank="0" text="" dxfId="12">
      <formula>"Fail"</formula>
    </cfRule>
    <cfRule type="cellIs" priority="11" operator="equal" aboveAverage="0" equalAverage="0" bottom="0" percent="0" rank="0" text="" dxfId="11">
      <formula>"Conditional Pass"</formula>
    </cfRule>
    <cfRule type="cellIs" priority="12" operator="equal" aboveAverage="0" equalAverage="0" bottom="0" percent="0" rank="0" text="" dxfId="11">
      <formula>"In Progress"</formula>
    </cfRule>
  </conditionalFormatting>
  <conditionalFormatting sqref="O3:O34">
    <cfRule type="cellIs" priority="13" operator="equal" aboveAverage="0" equalAverage="0" bottom="0" percent="0" rank="0" text="" dxfId="10">
      <formula>"Pass"</formula>
    </cfRule>
    <cfRule type="cellIs" priority="14" operator="equal" aboveAverage="0" equalAverage="0" bottom="0" percent="0" rank="0" text="" dxfId="12">
      <formula>"Fail"</formula>
    </cfRule>
    <cfRule type="cellIs" priority="15" operator="equal" aboveAverage="0" equalAverage="0" bottom="0" percent="0" rank="0" text="" dxfId="11">
      <formula>"Conditional Pass"</formula>
    </cfRule>
    <cfRule type="cellIs" priority="16" operator="equal" aboveAverage="0" equalAverage="0" bottom="0" percent="0" rank="0" text="" dxfId="11">
      <formula>"In Progress"</formula>
    </cfRule>
  </conditionalFormatting>
  <conditionalFormatting sqref="Q3:Q34">
    <cfRule type="cellIs" priority="17" operator="equal" aboveAverage="0" equalAverage="0" bottom="0" percent="0" rank="0" text="" dxfId="10">
      <formula>"Pass"</formula>
    </cfRule>
    <cfRule type="cellIs" priority="18" operator="equal" aboveAverage="0" equalAverage="0" bottom="0" percent="0" rank="0" text="" dxfId="12">
      <formula>"Fail"</formula>
    </cfRule>
    <cfRule type="cellIs" priority="19" operator="equal" aboveAverage="0" equalAverage="0" bottom="0" percent="0" rank="0" text="" dxfId="11">
      <formula>"Conditional Pass"</formula>
    </cfRule>
    <cfRule type="cellIs" priority="20" operator="equal" aboveAverage="0" equalAverage="0" bottom="0" percent="0" rank="0" text="" dxfId="11">
      <formula>"In Progress"</formula>
    </cfRule>
  </conditionalFormatting>
  <conditionalFormatting sqref="R3:R34">
    <cfRule type="cellIs" priority="21" operator="equal" aboveAverage="0" equalAverage="0" bottom="0" percent="0" rank="0" text="" dxfId="10">
      <formula>"Pass"</formula>
    </cfRule>
    <cfRule type="cellIs" priority="22" operator="equal" aboveAverage="0" equalAverage="0" bottom="0" percent="0" rank="0" text="" dxfId="12">
      <formula>"Fail"</formula>
    </cfRule>
    <cfRule type="cellIs" priority="23" operator="equal" aboveAverage="0" equalAverage="0" bottom="0" percent="0" rank="0" text="" dxfId="11">
      <formula>"Conditional Pass"</formula>
    </cfRule>
    <cfRule type="cellIs" priority="24" operator="equal" aboveAverage="0" equalAverage="0" bottom="0" percent="0" rank="0" text="" dxfId="11">
      <formula>"In Progress"</formula>
    </cfRule>
  </conditionalFormatting>
  <conditionalFormatting sqref="L3:L34">
    <cfRule type="cellIs" priority="25" operator="equal" aboveAverage="0" equalAverage="0" bottom="0" percent="0" rank="0" text="" dxfId="10">
      <formula>"Yes"</formula>
    </cfRule>
    <cfRule type="cellIs" priority="26" operator="equal" aboveAverage="0" equalAverage="0" bottom="0" percent="0" rank="0" text="" dxfId="12">
      <formula>"No"</formula>
    </cfRule>
    <cfRule type="cellIs" priority="27" operator="equal" aboveAverage="0" equalAverage="0" bottom="0" percent="0" rank="0" text="" dxfId="11">
      <formula>"Partial"</formula>
    </cfRule>
  </conditionalFormatting>
  <conditionalFormatting sqref="S3:S34">
    <cfRule type="cellIs" priority="28" operator="equal" aboveAverage="0" equalAverage="0" bottom="0" percent="0" rank="0" text="" dxfId="10">
      <formula>"Yes"</formula>
    </cfRule>
    <cfRule type="cellIs" priority="29" operator="equal" aboveAverage="0" equalAverage="0" bottom="0" percent="0" rank="0" text="" dxfId="12">
      <formula>"No"</formula>
    </cfRule>
    <cfRule type="cellIs" priority="30" operator="equal" aboveAverage="0" equalAverage="0" bottom="0" percent="0" rank="0" text="" dxfId="11">
      <formula>"Partial"</formula>
    </cfRule>
  </conditionalFormatting>
  <conditionalFormatting sqref="T3:T34">
    <cfRule type="cellIs" priority="31" operator="equal" aboveAverage="0" equalAverage="0" bottom="0" percent="0" rank="0" text="" dxfId="10">
      <formula>"Yes"</formula>
    </cfRule>
    <cfRule type="cellIs" priority="32" operator="equal" aboveAverage="0" equalAverage="0" bottom="0" percent="0" rank="0" text="" dxfId="12">
      <formula>"No"</formula>
    </cfRule>
    <cfRule type="cellIs" priority="33" operator="equal" aboveAverage="0" equalAverage="0" bottom="0" percent="0" rank="0" text="" dxfId="11">
      <formula>"Partial"</formula>
    </cfRule>
  </conditionalFormatting>
  <dataValidations count="11">
    <dataValidation allowBlank="true" error="Please select a value from the dropdown list." errorStyle="stop" errorTitle="Invalid entry" operator="between" showDropDown="false" showErrorMessage="false" showInputMessage="false" sqref="E3:E34" type="list">
      <formula1>"Standard,Emergency,Major"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F3:F34" type="list">
      <formula1>"Low,Medium,High,Critical"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L3:L34" type="list">
      <formula1>"Yes,No,Partial"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M3:M34" type="list">
      <formula1>"Not Started,In Progress,Pass,Fail,Conditional Pass"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O3:O34" type="list">
      <formula1>"Not Started,In Progress,Pass,Fail,Conditional Pass"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Q3:Q34" type="list">
      <formula1>"Not Started,In Progress,Pass,Fail,Conditional Pass"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R3:R34" type="list">
      <formula1>"Not Started,In Progress,Pass,Fail,Conditional Pass"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S3:S34" type="list">
      <formula1>"Yes,No,Partial"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T3:T34" type="list">
      <formula1>"Yes,No,Partial"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W3:W34" type="list">
      <formula1>"Red,Amber,Green"</formula1>
      <formula2>0</formula2>
    </dataValidation>
    <dataValidation allowBlank="true" error="Please select a value from the dropdown list." errorStyle="stop" errorTitle="Invalid entry" operator="between" showDropDown="false" showErrorMessage="false" showInputMessage="false" sqref="X3:X34" type="list">
      <formula1>"Pending,Approved,Approved with Conditions,Rejected"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2026-07-07T03:39:32Z</dcterms:created>
  <dc:creator>openpyxl</dc:creator>
  <dc:description/>
  <dc:language>en-US</dc:language>
  <cp:lastModifiedBy/>
  <dcterms:modified xsi:type="dcterms:W3CDTF">2026-07-07T03:39:32Z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