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run kumar mohapatra\Downloads\files1\"/>
    </mc:Choice>
  </mc:AlternateContent>
  <xr:revisionPtr revIDLastSave="0" documentId="13_ncr:1_{ED12B35A-ABDB-4630-8DD3-04ADEFA080CE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Executive Scorecard" sheetId="1" r:id="rId1"/>
    <sheet name="3-Year TCO Model" sheetId="2" r:id="rId2"/>
    <sheet name="Detailed Analysis" sheetId="3" r:id="rId3"/>
    <sheet name="Decision Framework" sheetId="4" r:id="rId4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6" i="2" l="1"/>
  <c r="E26" i="2"/>
  <c r="D26" i="2"/>
  <c r="D27" i="2" s="1"/>
  <c r="I6" i="2"/>
  <c r="I26" i="2" s="1"/>
  <c r="H6" i="2"/>
  <c r="H26" i="2" s="1"/>
  <c r="G6" i="2"/>
  <c r="G26" i="2" s="1"/>
  <c r="G27" i="2" s="1"/>
  <c r="G36" i="1"/>
  <c r="F36" i="1"/>
  <c r="G35" i="1"/>
  <c r="F35" i="1"/>
  <c r="G34" i="1"/>
  <c r="F34" i="1"/>
  <c r="G32" i="1"/>
  <c r="F32" i="1"/>
  <c r="G31" i="1"/>
  <c r="F31" i="1"/>
  <c r="G30" i="1"/>
  <c r="F30" i="1"/>
  <c r="G28" i="1"/>
  <c r="F28" i="1"/>
  <c r="G27" i="1"/>
  <c r="F27" i="1"/>
  <c r="G26" i="1"/>
  <c r="F26" i="1"/>
  <c r="G24" i="1"/>
  <c r="F24" i="1"/>
  <c r="G23" i="1"/>
  <c r="F23" i="1"/>
  <c r="G22" i="1"/>
  <c r="F22" i="1"/>
  <c r="G21" i="1"/>
  <c r="F21" i="1"/>
  <c r="G20" i="1"/>
  <c r="F20" i="1"/>
  <c r="G18" i="1"/>
  <c r="F18" i="1"/>
  <c r="G17" i="1"/>
  <c r="F17" i="1"/>
  <c r="G16" i="1"/>
  <c r="F16" i="1"/>
  <c r="G15" i="1"/>
  <c r="F15" i="1"/>
  <c r="G14" i="1"/>
  <c r="F14" i="1"/>
  <c r="G12" i="1"/>
  <c r="F12" i="1"/>
  <c r="G11" i="1"/>
  <c r="F11" i="1"/>
  <c r="G10" i="1"/>
  <c r="F10" i="1"/>
  <c r="G9" i="1"/>
  <c r="F9" i="1"/>
  <c r="G8" i="1"/>
  <c r="G37" i="1" s="1"/>
  <c r="F8" i="1"/>
  <c r="F37" i="1" s="1"/>
  <c r="G7" i="1"/>
  <c r="F7" i="1"/>
  <c r="G6" i="1"/>
  <c r="F6" i="1"/>
</calcChain>
</file>

<file path=xl/sharedStrings.xml><?xml version="1.0" encoding="utf-8"?>
<sst xmlns="http://schemas.openxmlformats.org/spreadsheetml/2006/main" count="295" uniqueCount="239">
  <si>
    <t>TRADE ASSET DISTRIBUTION PLATFORM – VENDOR EVALUATION SCORECARD</t>
  </si>
  <si>
    <t>Lloyds Banking Group  |  Lead Solution Architecture  |  SaaS vs Self-Managed (JAR on GCP / OpenShift)</t>
  </si>
  <si>
    <t>#</t>
  </si>
  <si>
    <t>Evaluation Parameter</t>
  </si>
  <si>
    <t>Weight (%)</t>
  </si>
  <si>
    <t>SaaS Score
(1–5)</t>
  </si>
  <si>
    <t>Self-Managed
Score (1–5)</t>
  </si>
  <si>
    <t>Weighted
SaaS</t>
  </si>
  <si>
    <t>Weighted
Self-Mgd</t>
  </si>
  <si>
    <t>Notes / Lloyds Consideration</t>
  </si>
  <si>
    <t xml:space="preserve">  ▶  COMMERCIAL &amp; COST</t>
  </si>
  <si>
    <t>Annual subscription / licensing fee</t>
  </si>
  <si>
    <t>6%</t>
  </si>
  <si>
    <t>SaaS: predictable but premium pricing. JAR: licence often cheaper; vendor charges for support separately</t>
  </si>
  <si>
    <t>3-Year Total Cost of Ownership (TCO)</t>
  </si>
  <si>
    <t>8%</t>
  </si>
  <si>
    <t>SaaS lower upfront; JAR lower at scale. Run full model incl. FTE, infra, licence, support</t>
  </si>
  <si>
    <t>FTE cost – operations &amp; app management</t>
  </si>
  <si>
    <t>7%</t>
  </si>
  <si>
    <t>SaaS needs minimal app FTE. JAR needs 2-4 FTE (DevOps, App SME, On-call) at ~£80-120k/yr each</t>
  </si>
  <si>
    <t>Infrastructure cost (GCP / OpenShift)</t>
  </si>
  <si>
    <t>5%</t>
  </si>
  <si>
    <t>SaaS: zero infra cost to Lloyds. JAR: GCP compute, storage, networking; OpenShift licence via IBM</t>
  </si>
  <si>
    <t>Hidden / variable cost risk</t>
  </si>
  <si>
    <t>4%</t>
  </si>
  <si>
    <t>SaaS: API call charges, egress, user-seat scaling. JAR: infra overprovisioning risk</t>
  </si>
  <si>
    <t>Renewal &amp; price escalation risk</t>
  </si>
  <si>
    <t>3%</t>
  </si>
  <si>
    <t>SaaS vendors often raise subscription 15-30% at renewal. JAR pricing more stable</t>
  </si>
  <si>
    <t>Cost of upgrades &amp; migrations</t>
  </si>
  <si>
    <t>SaaS: vendor-driven, no direct cost. JAR: internal pipeline effort per release</t>
  </si>
  <si>
    <t xml:space="preserve">  ▶  SECURITY &amp; COMPLIANCE</t>
  </si>
  <si>
    <t>Data residency &amp; sovereignty (UK/EEA)</t>
  </si>
  <si>
    <t>9%</t>
  </si>
  <si>
    <t>FCA requires evidence of data location. JAR on GCP UK gives full control</t>
  </si>
  <si>
    <t>FCA / PRA regulatory compliance</t>
  </si>
  <si>
    <t>Material outsourcing obligations. JAR lets Lloyds directly evidence controls</t>
  </si>
  <si>
    <t>DORA ICT risk management</t>
  </si>
  <si>
    <t>DORA requires Lloyds to manage and test ICT resilience; JAR enables this</t>
  </si>
  <si>
    <t>Penetration testing &amp; vulnerability SLA</t>
  </si>
  <si>
    <t>SaaS limits pen-test scope; JAR allows Snyk/Trivy in pipeline with Lloyds-set SLAs</t>
  </si>
  <si>
    <t>Third-party &amp; 4th-party risk</t>
  </si>
  <si>
    <t>SaaS adds vendor's cloud provider as 4th party. Self-managed uses Lloyds-approved GCP</t>
  </si>
  <si>
    <t xml:space="preserve">  ▶  OPERATIONAL CONTROL</t>
  </si>
  <si>
    <t>Infrastructure ownership &amp; customisation</t>
  </si>
  <si>
    <t>JAR on GCP/OpenShift fully owned by Lloyds application team</t>
  </si>
  <si>
    <t>Upgrade &amp; patch scheduling control</t>
  </si>
  <si>
    <t>SaaS: vendor-driven; risk of breaking changes without notice. JAR: Lloyds CAB-approved</t>
  </si>
  <si>
    <t>Incident response &amp; P1 SLA ownership</t>
  </si>
  <si>
    <t>JAR: Lloyds ITSM (ServiceNow) owns P1. SaaS: dependent on vendor comms cadence</t>
  </si>
  <si>
    <t>DR / BCP ownership &amp; evidence</t>
  </si>
  <si>
    <t>PRA expects DR test evidence; JAR integrates into Lloyds BCP framework</t>
  </si>
  <si>
    <t>Rollback capability</t>
  </si>
  <si>
    <t>JAR: blue/green or canary deploy via pipeline. SaaS: limited rollback options</t>
  </si>
  <si>
    <t xml:space="preserve">  ▶  INTEGRATION &amp; ARCHITECTURE</t>
  </si>
  <si>
    <t>API / integration flexibility</t>
  </si>
  <si>
    <t>JAR integrates with internal MQ, Kafka, SWIFT, mainframe adapters</t>
  </si>
  <si>
    <t>Multi-environment (Dev/UAT/Prod) support</t>
  </si>
  <si>
    <t>SaaS often single-tenant; JAR deployed per environment via pipeline</t>
  </si>
  <si>
    <t>Vendor lock-in &amp; exit risk</t>
  </si>
  <si>
    <t>SaaS: high platform dependency. JAR: portable container, standard interfaces</t>
  </si>
  <si>
    <t xml:space="preserve">  ▶  DELIVERY &amp; SCALABILITY</t>
  </si>
  <si>
    <t>Time to production (initial go-live)</t>
  </si>
  <si>
    <t>SaaS weeks; JAR months (pipeline build, image hardening, infra provisioning)</t>
  </si>
  <si>
    <t>Scalability &amp; elasticity</t>
  </si>
  <si>
    <t>SaaS auto-scales. JAR needs HPA config and capacity planning on OpenShift/GCP</t>
  </si>
  <si>
    <t>DevOps pipeline maturity requirement</t>
  </si>
  <si>
    <t>JAR demands mature CI/CD with image scanning, promotion gates, GitOps</t>
  </si>
  <si>
    <t xml:space="preserve">  ▶  VENDOR &amp; SUPPORT</t>
  </si>
  <si>
    <t>Managed support desk &amp; SLA</t>
  </si>
  <si>
    <t>SaaS: full managed support. JAR: Lloyds owns L1/L2; vendor covers L3 only</t>
  </si>
  <si>
    <t>Vendor lock-in &amp; commercial leverage</t>
  </si>
  <si>
    <t>SaaS: high dependency reduces negotiation leverage. JAR: more balanced</t>
  </si>
  <si>
    <t>Vendor financial stability &amp; roadmap</t>
  </si>
  <si>
    <t>Equal; depends on individual vendor due diligence</t>
  </si>
  <si>
    <t>TOTAL WEIGHTED SCORE</t>
  </si>
  <si>
    <t>100%</t>
  </si>
  <si>
    <t>Higher score = Preferred approach</t>
  </si>
  <si>
    <t>SCORING: 5=Excellent  |  4=Good  |  3=Adequate  |  2=Below Expectation  |  1=Poor/High Risk    |    Scores are indicative; update with actual vendor RFI responses</t>
  </si>
  <si>
    <t>3-YEAR TOTAL COST OF OWNERSHIP (TCO) MODEL  –  INDICATIVE ESTIMATES</t>
  </si>
  <si>
    <t>Update blue cells with actual vendor quotes. All figures in £000 per annum unless stated. FTE on-cost multiplier = 1.3x (pension, NI, benefits, desk cost)</t>
  </si>
  <si>
    <t>Cost Category</t>
  </si>
  <si>
    <t>Cost Item</t>
  </si>
  <si>
    <t>Notes / Assumptions</t>
  </si>
  <si>
    <t>SaaS Yr1 (£k)</t>
  </si>
  <si>
    <t>SaaS Yr2 (£k)</t>
  </si>
  <si>
    <t>SaaS Yr3 (£k)</t>
  </si>
  <si>
    <t>JAR Yr1 (£k)</t>
  </si>
  <si>
    <t>JAR Yr2 (£k)</t>
  </si>
  <si>
    <t>JAR Yr3 (£k)</t>
  </si>
  <si>
    <t xml:space="preserve">  ▶  LICENSING</t>
  </si>
  <si>
    <t>Licensing</t>
  </si>
  <si>
    <t>Platform subscription / licence fee</t>
  </si>
  <si>
    <t>SaaS: annual subscription. JAR: per-deployment licence or per-user</t>
  </si>
  <si>
    <t>Support &amp; maintenance tier</t>
  </si>
  <si>
    <t>SaaS: often bundled. JAR: vendor L3 support contract (typ. 20% of licence)</t>
  </si>
  <si>
    <t xml:space="preserve">  ▶  FTE – OPERATIONS</t>
  </si>
  <si>
    <t>FTE – Operations</t>
  </si>
  <si>
    <t>Application SME / platform engineer (headcount)</t>
  </si>
  <si>
    <t>SaaS: 0.5 FTE shared. JAR: 2 dedicated FTE @ £95k avg salary x 1.3 on-cost = £247k/yr</t>
  </si>
  <si>
    <t>DevOps engineer – pipeline &amp; image build</t>
  </si>
  <si>
    <t>SaaS: minimal (0.25 FTE). JAR: 1 dedicated FTE @ £90k x 1.3 = £117k</t>
  </si>
  <si>
    <t>On-call / incident management premium</t>
  </si>
  <si>
    <t>SaaS: vendor covers. JAR: on-call supplement ~£8k/FTE x 2 FTE</t>
  </si>
  <si>
    <t>Training &amp; upskilling (one-off Yr1 heavy)</t>
  </si>
  <si>
    <t>JAR: GCP, OpenShift, vendor platform training</t>
  </si>
  <si>
    <t xml:space="preserve">  ▶  INFRASTRUCTURE</t>
  </si>
  <si>
    <t>Infrastructure</t>
  </si>
  <si>
    <t>GCP compute (VMs / GKE nodes)</t>
  </si>
  <si>
    <t>SaaS: £0 to Lloyds. JAR: 3 environments (Dev/UAT/Prod) ~16 cores prod</t>
  </si>
  <si>
    <t>GCP storage &amp; networking / egress</t>
  </si>
  <si>
    <t>SaaS: egress charges if data exported. JAR: object storage + VPC egress</t>
  </si>
  <si>
    <t>OpenShift / IBM managed platform fee</t>
  </si>
  <si>
    <t>If deployed on OpenShift; IBM charges platform management fee</t>
  </si>
  <si>
    <t>Monitoring &amp; observability tooling</t>
  </si>
  <si>
    <t>SaaS: vendor dashboard. JAR: Datadog/Dynatrace licence allocation</t>
  </si>
  <si>
    <t>Security tooling (Snyk, Trivy, WAF)</t>
  </si>
  <si>
    <t>SaaS: vendor responsibility. JAR: Lloyds pipeline scanning tools</t>
  </si>
  <si>
    <t xml:space="preserve">  ▶  INTEGRATION &amp; PROJECT</t>
  </si>
  <si>
    <t>Integration &amp; Project</t>
  </si>
  <si>
    <t>Initial integration / onboarding</t>
  </si>
  <si>
    <t>One-off professional services / internal dev effort</t>
  </si>
  <si>
    <t>Ongoing integration maintenance</t>
  </si>
  <si>
    <t>API changes, schema updates, adapter patches</t>
  </si>
  <si>
    <t>DR setup &amp; annual test</t>
  </si>
  <si>
    <t>SaaS: vendor DR test evidence. JAR: Lloyds-run DR exercise</t>
  </si>
  <si>
    <t xml:space="preserve">  ▶  GOVERNANCE &amp; COMPLIANCE</t>
  </si>
  <si>
    <t>Governance &amp; Compliance</t>
  </si>
  <si>
    <t>Third-party risk assessment (annual)</t>
  </si>
  <si>
    <t>SaaS: full vendor risk review. JAR: lighter-touch as Lloyds-managed</t>
  </si>
  <si>
    <t>Pen-testing &amp; security audit</t>
  </si>
  <si>
    <t>SaaS: vendor cert review. JAR: internal pen-test scope</t>
  </si>
  <si>
    <t>Regulatory reporting &amp; audit support</t>
  </si>
  <si>
    <t>FCA/PRA evidence pack. JAR: lower cost as Lloyds holds all evidence</t>
  </si>
  <si>
    <t>TOTAL 3-YEAR COST (£k)</t>
  </si>
  <si>
    <t>3-YEAR TOTAL SUM (£k)</t>
  </si>
  <si>
    <t>DETAILED PARAMETER-BY-PARAMETER ANALYSIS</t>
  </si>
  <si>
    <t>Parameter</t>
  </si>
  <si>
    <t>SaaS / Vendor-Hosted – Key Points</t>
  </si>
  <si>
    <t>Self-Managed / JAR – Key Points</t>
  </si>
  <si>
    <t>Lloyds-Specific Consideration</t>
  </si>
  <si>
    <t>Risk
SaaS</t>
  </si>
  <si>
    <t>Risk
JAR</t>
  </si>
  <si>
    <t>Licensing Cost</t>
  </si>
  <si>
    <t>Annual subscription typically £250k–£500k depending on user count and modules. Renewal uplift common.</t>
  </si>
  <si>
    <t>Licence fee usually 30-50% lower than SaaS. Vendor charges separately for L3 support (typ. 20% of licence).</t>
  </si>
  <si>
    <t>Negotiate multi-year fixed pricing. Ensure right-to-audit licence usage is included.</t>
  </si>
  <si>
    <t>MEDIUM</t>
  </si>
  <si>
    <t>LOW</t>
  </si>
  <si>
    <t>FTE &amp; Staffing Cost</t>
  </si>
  <si>
    <t>Minimal ops FTE needed (~0.5 FTE shared). No DevOps build/deploy overhead. Vendor manages all infra ops.</t>
  </si>
  <si>
    <t>Requires 2-4 dedicated FTE: App SME x2, DevOps x1, On-call cover. Total FTE cost ~£380-480k/yr incl. on-costs.</t>
  </si>
  <si>
    <t>FTE cost is the largest hidden cost of JAR model. Must be reflected in business case and headcount plan.</t>
  </si>
  <si>
    <t>HIGH</t>
  </si>
  <si>
    <t>Infrastructure Cost</t>
  </si>
  <si>
    <t>Zero infra cost to Lloyds. Vendor absorbs cloud compute, storage, and networking costs in subscription.</t>
  </si>
  <si>
    <t>GCP compute (prod+non-prod): ~£60-80k/yr. OpenShift/IBM platform fee: ~£80k/yr. Storage &amp; egress: ~£15-20k/yr.</t>
  </si>
  <si>
    <t>On OpenShift, IBM manages platform but Lloyds pays platform fee. On GCP, Lloyds controls but must right-size.</t>
  </si>
  <si>
    <t>Hidden &amp; Variable Costs</t>
  </si>
  <si>
    <t>API call charges, data egress, per-seat scaling, premium support tiers. Can increase total cost 20-40% vs headline.</t>
  </si>
  <si>
    <t>Risk of infra overprovisioning. Upgrade effort (pipeline, regression testing) incurs dev-team opportunity cost.</t>
  </si>
  <si>
    <t>Demand fully-loaded cost model from SaaS vendors including all usage-based charges at Lloyds' estimated volumes.</t>
  </si>
  <si>
    <t>Data Sovereignty</t>
  </si>
  <si>
    <t>Data held in vendor cloud; location may be outside UK/EEA without explicit contractual constraint.</t>
  </si>
  <si>
    <t>Data in Lloyds-controlled GCP UK region or on-prem OpenShift. Full data lineage and location evidence available.</t>
  </si>
  <si>
    <t>FCA Senior Manager accountability requires evidence of data location. Material outsourcing register implication.</t>
  </si>
  <si>
    <t>Regulatory Compliance (FCA/PRA/DORA)</t>
  </si>
  <si>
    <t>Vendor provides SOC 2 / ISO 27001 reports. Lloyds reliant on vendor's compliance cycle and audit evidence.</t>
  </si>
  <si>
    <t>Lloyds directly implements and evidences controls. Internal audit has full-stack access for FCA review.</t>
  </si>
  <si>
    <t>DORA (2025) requires Lloyds to test and evidence ICT resilience. Only JAR allows this with full control.</t>
  </si>
  <si>
    <t>Upgrade &amp; Patch Control</t>
  </si>
  <si>
    <t>Vendor pushes upgrades on their schedule. Limited notice period. Risk of breaking API changes mid-cycle.</t>
  </si>
  <si>
    <t>Lloyds controls upgrade schedule via pipeline. Full regression gate before UAT→Prod promotion. CAB-aligned.</t>
  </si>
  <si>
    <t>Lloyds Change Management requires 5-day notice for standard changes. SaaS often cannot meet this requirement.</t>
  </si>
  <si>
    <t>Incident &amp; SLA Ownership</t>
  </si>
  <si>
    <t>Vendor manages P1 incidents. Lloyds dependent on vendor comms and SLA. Limited visibility into root cause.</t>
  </si>
  <si>
    <t>Lloyds ITSM (ServiceNow) owns end-to-end P1 management. RCA available within Lloyds-defined timeframes.</t>
  </si>
  <si>
    <t>Lloyds has strict MRT/RTO for trade platforms. JAR allows full integration into existing incident runbooks.</t>
  </si>
  <si>
    <t>Integration Flexibility</t>
  </si>
  <si>
    <t>API and webhook integration only. Cannot connect directly to internal message buses or mainframe adapters.</t>
  </si>
  <si>
    <t>JAR embedded in Lloyds integration fabric. Direct integration with IBM MQ, Kafka, SWIFT, core banking APIs.</t>
  </si>
  <si>
    <t>Trade asset distribution requires real-time position feeds and settlement instruction routing to core systems.</t>
  </si>
  <si>
    <t>DR / Business Continuity</t>
  </si>
  <si>
    <t>Vendor manages DR; Lloyds must validate vendor RTO/RPO against Lloyds requirements via contractual SLA.</t>
  </si>
  <si>
    <t>Lloyds implements DR on GCP multi-region or OpenShift active-passive. Full DR test evidence available.</t>
  </si>
  <si>
    <t>PRA expects Lloyds to run and evidence DR tests. Only JAR model allows this to be fully integrated.</t>
  </si>
  <si>
    <t>Vendor Lock-in &amp; Exit</t>
  </si>
  <si>
    <t>High platform dependency. Proprietary data formats. Exit requires data migration, reintegration; typically 12-18 month effort.</t>
  </si>
  <si>
    <t>Containerised JAR on standard infra. Exit by removing deployment. Data in Lloyds-owned storage.</t>
  </si>
  <si>
    <t>Technology strategy at Lloyds emphasises open standards and portability across GCP and OpenShift.</t>
  </si>
  <si>
    <t>Time to Production</t>
  </si>
  <si>
    <t>Fastest path: weeks to stand up. Vendor manages all provisioning. Integration is the main gating factor.</t>
  </si>
  <si>
    <t>Longer: 3-6 months for pipeline build, image hardening, security scan gates, infra provisioning, DR test.</t>
  </si>
  <si>
    <t>If a pilot/PoC is required quickly, SaaS wins on speed. For strategic deployment, JAR is the right target.</t>
  </si>
  <si>
    <t>Security &amp; Vulnerability Management</t>
  </si>
  <si>
    <t>Vendor patches CVEs; Lloyds cannot control patch timing. Cannot confirm remediation SLA adherence.</t>
  </si>
  <si>
    <t>Lloyds pipeline scans images (Snyk/Trivy). Lloyds sets CVE SLAs: Critical 24hr, High 7d. Full audit trail.</t>
  </si>
  <si>
    <t>Lloyds Cyber mandates vulnerability remediation SLAs. Only JAR model allows Lloyds to enforce these internally.</t>
  </si>
  <si>
    <t>Support Model</t>
  </si>
  <si>
    <t>Managed L1-L3 support desk with SLA. Low operational burden on Lloyds team. Escalation path clear.</t>
  </si>
  <si>
    <t>Lloyds team manages L1/L2; vendor provides L3 only. Requires trained application SMEs and documented runbooks.</t>
  </si>
  <si>
    <t>JAR model requires Lloyds to invest in SME training, runbook creation, and on-call rota for the platform.</t>
  </si>
  <si>
    <t>DECISION FRAMEWORK &amp; VENDOR QUESTIONS</t>
  </si>
  <si>
    <t>CHOOSE SaaS / VENDOR-HOSTED IF…</t>
  </si>
  <si>
    <t xml:space="preserve">  ▸  Pilot or PoC phase only — not strategic production deployment</t>
  </si>
  <si>
    <t xml:space="preserve">  ▸  Data processed is non-sensitive reference data with no personal or regulated client data</t>
  </si>
  <si>
    <t xml:space="preserve">  ▸  Vendor contractually commits to UK/EEA data residency in writing</t>
  </si>
  <si>
    <t xml:space="preserve">  ▸  Lloyds application team cannot absorb 2-4 additional FTE within current headcount</t>
  </si>
  <si>
    <t xml:space="preserve">  ▸  Time-to-production is the primary constraint (&lt; 4 months required)</t>
  </si>
  <si>
    <t xml:space="preserve">  ▸  SaaS 3-year fully-loaded TCO is materially lower after FTE cost factored in</t>
  </si>
  <si>
    <t>CHOOSE SELF-MANAGED / JAR IF…</t>
  </si>
  <si>
    <t xml:space="preserve">  ▸  Platform processes regulated, confidential, or client-identifiable trade data</t>
  </si>
  <si>
    <t xml:space="preserve">  ▸  Lloyds must evidence direct control to FCA, PRA, or internal audit under DORA</t>
  </si>
  <si>
    <t xml:space="preserve">  ▸  Deep integration with core banking, MQ, Kafka, SWIFT, or settlement infrastructure required</t>
  </si>
  <si>
    <t xml:space="preserve">  ▸  Long-term strategic platform — not a pilot; business case supports dedicated FTE</t>
  </si>
  <si>
    <t xml:space="preserve">  ▸  Technology strategy alignment to GCP-native or OpenShift is a priority</t>
  </si>
  <si>
    <t xml:space="preserve">  ▸  DR, incident management, and upgrade scheduling must align to Lloyds CAB/BCP frameworks</t>
  </si>
  <si>
    <t xml:space="preserve">  ▸  Vendor lock-in risk is unacceptable given trade distribution function criticality</t>
  </si>
  <si>
    <t>MANDATORY VENDOR QUESTIONS (ALL VENDORS)</t>
  </si>
  <si>
    <t xml:space="preserve">  ▸  PRICING: Provide a fully-loaded 3-year cost model including all usage-based charges at our volume tier</t>
  </si>
  <si>
    <t xml:space="preserve">  ▸  PRICING: What is your renewal pricing mechanism and maximum annual uplift cap?</t>
  </si>
  <si>
    <t xml:space="preserve">  ▸  PRICING: What is the cost of an additional deployment environment (Dev/UAT)?</t>
  </si>
  <si>
    <t xml:space="preserve">  ▸  DATA: Confirm in writing that all Lloyds data remains within UK/EEA geography at all times</t>
  </si>
  <si>
    <t xml:space="preserve">  ▸  COMPLIANCE: How do you support Lloyds in meeting FCA material outsourcing requirements?</t>
  </si>
  <si>
    <t xml:space="preserve">  ▸  SECURITY: What CVE remediation SLA do you commit to by severity (Critical, High, Medium)?</t>
  </si>
  <si>
    <t xml:space="preserve">  ▸  UPGRADES: What notice period do you provide for breaking-change upgrades?</t>
  </si>
  <si>
    <t xml:space="preserve">  ▸  DR: Provide DR test results with RTO/RPO aligned to Lloyds SLAs</t>
  </si>
  <si>
    <t xml:space="preserve">  ▸  SUPPORT (JAR): What L3 support SLA does your team commit to post-deployment?</t>
  </si>
  <si>
    <t xml:space="preserve">  ▸  EXIT: Describe the data extraction and exit process if Lloyds terminates the contract</t>
  </si>
  <si>
    <t>RECOMMENDED NEXT STEPS</t>
  </si>
  <si>
    <t xml:space="preserve">  ▸  1. Issue full RFI/Vendor Questionnaire (covering all parameters in this workbook) to shortlisted vendors</t>
  </si>
  <si>
    <t xml:space="preserve">  ▸  2. Classify data sensitivity with Lloyds Data Governance — determines whether SaaS is permissible at all</t>
  </si>
  <si>
    <t xml:space="preserve">  ▸  3. Engage Lloyds Cyber, Legal &amp; Compliance to define minimum non-negotiable contract requirements</t>
  </si>
  <si>
    <t xml:space="preserve">  ▸  4. Run a fully-loaded 3-year TCO model using the TCO tab with actual vendor quotes</t>
  </si>
  <si>
    <t xml:space="preserve">  ▸  5. Score all vendors against the Executive Scorecard using completed RFI responses</t>
  </si>
  <si>
    <t xml:space="preserve">  ▸  6. Confirm DevOps &amp; application team headcount capacity for JAR model operations</t>
  </si>
  <si>
    <t xml:space="preserve">  ▸  7. Shortlist top 2 vendors and present to Architecture Review Board with deployment recommendation</t>
  </si>
  <si>
    <t xml:space="preserve">  ▸  8. Run a 4-6 week PoC for preferred vendor on preferred deployment model before commercial commitment</t>
  </si>
  <si>
    <t>FTE = Full-Time Equivalent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</si>
</sst>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FFFFFF"/>
      <name val="Arial"/>
      <charset val="1"/>
    </font>
    <font>
      <b/>
      <sz val="10"/>
      <color rgb="FFFFFFFF"/>
      <name val="Arial"/>
      <charset val="1"/>
    </font>
    <font>
      <sz val="9"/>
      <color rgb="FF1A1A2E"/>
      <name val="Arial"/>
      <charset val="1"/>
    </font>
    <font>
      <b/>
      <sz val="10"/>
      <color rgb="FF856404"/>
      <name val="Arial"/>
      <charset val="1"/>
    </font>
    <font>
      <b/>
      <sz val="10"/>
      <color rgb="FF1A7A45"/>
      <name val="Arial"/>
      <charset val="1"/>
    </font>
    <font>
      <b/>
      <sz val="10"/>
      <color rgb="FFA42020"/>
      <name val="Arial"/>
      <charset val="1"/>
    </font>
    <font>
      <b/>
      <sz val="11"/>
      <color rgb="FFFFFFFF"/>
      <name val="Arial"/>
      <charset val="1"/>
    </font>
    <font>
      <i/>
      <sz val="9"/>
      <color rgb="FF1A1A2E"/>
      <name val="Arial"/>
      <charset val="1"/>
    </font>
    <font>
      <b/>
      <sz val="13"/>
      <color rgb="FFFFFFFF"/>
      <name val="Arial"/>
      <charset val="1"/>
    </font>
    <font>
      <i/>
      <sz val="9"/>
      <color rgb="FFFFFFFF"/>
      <name val="Arial"/>
      <charset val="1"/>
    </font>
    <font>
      <b/>
      <sz val="9"/>
      <color rgb="FF1A1A2E"/>
      <name val="Arial"/>
      <charset val="1"/>
    </font>
    <font>
      <i/>
      <sz val="8"/>
      <color rgb="FF44556A"/>
      <name val="Arial"/>
      <charset val="1"/>
    </font>
    <font>
      <b/>
      <sz val="10"/>
      <color rgb="FF0000CD"/>
      <name val="Arial"/>
      <charset val="1"/>
    </font>
    <font>
      <sz val="10"/>
      <color rgb="FF1A1A2E"/>
      <name val="Arial"/>
      <charset val="1"/>
    </font>
    <font>
      <b/>
      <sz val="12"/>
      <color rgb="FFFFFFFF"/>
      <name val="Arial"/>
      <charset val="1"/>
    </font>
    <font>
      <b/>
      <sz val="9"/>
      <color rgb="FF856404"/>
      <name val="Arial"/>
      <charset val="1"/>
    </font>
    <font>
      <b/>
      <sz val="9"/>
      <color rgb="FF1A7A45"/>
      <name val="Arial"/>
      <charset val="1"/>
    </font>
    <font>
      <b/>
      <sz val="9"/>
      <color rgb="FFA42020"/>
      <name val="Arial"/>
      <charset val="1"/>
    </font>
  </fonts>
  <fills count="22">
    <fill>
      <patternFill patternType="none"/>
    </fill>
    <fill>
      <patternFill patternType="gray125"/>
    </fill>
    <fill>
      <patternFill patternType="solid">
        <fgColor rgb="FF1E2761"/>
        <bgColor rgb="FF1A1A2E"/>
      </patternFill>
    </fill>
    <fill>
      <patternFill patternType="solid">
        <fgColor rgb="FF2E5FA3"/>
        <bgColor rgb="FF1A4FA3"/>
      </patternFill>
    </fill>
    <fill>
      <patternFill patternType="solid">
        <fgColor rgb="FF1A4FA3"/>
        <bgColor rgb="FF2E5FA3"/>
      </patternFill>
    </fill>
    <fill>
      <patternFill patternType="solid">
        <fgColor rgb="FFEAF0FF"/>
        <bgColor rgb="FFF2F4F8"/>
      </patternFill>
    </fill>
    <fill>
      <patternFill patternType="solid">
        <fgColor rgb="FFFFF3CD"/>
        <bgColor rgb="FFFEF8E8"/>
      </patternFill>
    </fill>
    <fill>
      <patternFill patternType="solid">
        <fgColor rgb="FFD6F5E3"/>
        <bgColor rgb="FFE8FEF0"/>
      </patternFill>
    </fill>
    <fill>
      <patternFill patternType="solid">
        <fgColor rgb="FFFCE4E4"/>
        <bgColor rgb="FFFEE8E8"/>
      </patternFill>
    </fill>
    <fill>
      <patternFill patternType="solid">
        <fgColor rgb="FF1A7A45"/>
        <bgColor rgb="FF008000"/>
      </patternFill>
    </fill>
    <fill>
      <patternFill patternType="solid">
        <fgColor rgb="FFE8FEF0"/>
        <bgColor rgb="FFE8FEFE"/>
      </patternFill>
    </fill>
    <fill>
      <patternFill patternType="solid">
        <fgColor rgb="FF8A5200"/>
        <bgColor rgb="FF856404"/>
      </patternFill>
    </fill>
    <fill>
      <patternFill patternType="solid">
        <fgColor rgb="FFFEF8E8"/>
        <bgColor rgb="FFF2F4F8"/>
      </patternFill>
    </fill>
    <fill>
      <patternFill patternType="solid">
        <fgColor rgb="FF6A1A8A"/>
        <bgColor rgb="FF800080"/>
      </patternFill>
    </fill>
    <fill>
      <patternFill patternType="solid">
        <fgColor rgb="FFFDE8FE"/>
        <bgColor rgb="FFFEE8E8"/>
      </patternFill>
    </fill>
    <fill>
      <patternFill patternType="solid">
        <fgColor rgb="FF005A8A"/>
        <bgColor rgb="FF1A4FA3"/>
      </patternFill>
    </fill>
    <fill>
      <patternFill patternType="solid">
        <fgColor rgb="FFE8FEFE"/>
        <bgColor rgb="FFE8FEF0"/>
      </patternFill>
    </fill>
    <fill>
      <patternFill patternType="solid">
        <fgColor rgb="FF8A1A1A"/>
        <bgColor rgb="FFA42020"/>
      </patternFill>
    </fill>
    <fill>
      <patternFill patternType="solid">
        <fgColor rgb="FFFEE8E8"/>
        <bgColor rgb="FFFCE4E4"/>
      </patternFill>
    </fill>
    <fill>
      <patternFill patternType="solid">
        <fgColor rgb="FFF2F4F8"/>
        <bgColor rgb="FFEAF0FF"/>
      </patternFill>
    </fill>
    <fill>
      <patternFill patternType="solid">
        <fgColor rgb="FF028090"/>
        <bgColor rgb="FF1A7A45"/>
      </patternFill>
    </fill>
    <fill>
      <patternFill patternType="solid">
        <fgColor rgb="FFFFFFFF"/>
        <bgColor rgb="FFFEF8E8"/>
      </patternFill>
    </fill>
  </fills>
  <borders count="3">
    <border>
      <left/>
      <right/>
      <top/>
      <bottom/>
      <diagonal/>
    </border>
    <border>
      <left style="thin">
        <color rgb="FFC0C8D8"/>
      </left>
      <right style="thin">
        <color rgb="FFC0C8D8"/>
      </right>
      <top style="thin">
        <color rgb="FFC0C8D8"/>
      </top>
      <bottom style="thin">
        <color rgb="FFC0C8D8"/>
      </bottom>
      <diagonal/>
    </border>
    <border>
      <left style="thin">
        <color rgb="FFC0C8D8"/>
      </left>
      <right/>
      <top style="thin">
        <color rgb="FFC0C8D8"/>
      </top>
      <bottom style="thin">
        <color rgb="FFC0C8D8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5" fillId="19" borderId="2" xfId="0" applyFont="1" applyFill="1" applyBorder="1" applyAlignment="1">
      <alignment horizontal="left" vertical="center" wrapText="1"/>
    </xf>
    <xf numFmtId="0" fontId="8" fillId="20" borderId="2" xfId="0" applyFont="1" applyFill="1" applyBorder="1" applyAlignment="1">
      <alignment horizontal="left" vertical="center" wrapText="1"/>
    </xf>
    <xf numFmtId="0" fontId="3" fillId="20" borderId="2" xfId="0" applyFont="1" applyFill="1" applyBorder="1" applyAlignment="1">
      <alignment horizontal="left" vertical="center" wrapText="1"/>
    </xf>
    <xf numFmtId="0" fontId="11" fillId="3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9" fillId="19" borderId="2" xfId="0" applyFont="1" applyFill="1" applyBorder="1" applyAlignment="1">
      <alignment horizontal="center" vertical="center" wrapText="1"/>
    </xf>
    <xf numFmtId="0" fontId="3" fillId="17" borderId="2" xfId="0" applyFont="1" applyFill="1" applyBorder="1" applyAlignment="1">
      <alignment horizontal="left" vertical="center" wrapText="1"/>
    </xf>
    <xf numFmtId="0" fontId="3" fillId="15" borderId="2" xfId="0" applyFont="1" applyFill="1" applyBorder="1" applyAlignment="1">
      <alignment horizontal="left" vertical="center" wrapText="1"/>
    </xf>
    <xf numFmtId="0" fontId="3" fillId="13" borderId="2" xfId="0" applyFont="1" applyFill="1" applyBorder="1" applyAlignment="1">
      <alignment horizontal="left" vertical="center" wrapText="1"/>
    </xf>
    <xf numFmtId="0" fontId="3" fillId="11" borderId="2" xfId="0" applyFont="1" applyFill="1" applyBorder="1" applyAlignment="1">
      <alignment horizontal="left" vertical="center" wrapText="1"/>
    </xf>
    <xf numFmtId="0" fontId="3" fillId="9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left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left" vertical="center" wrapText="1"/>
    </xf>
    <xf numFmtId="0" fontId="4" fillId="16" borderId="1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>
      <alignment horizontal="left" vertical="center" wrapText="1"/>
    </xf>
    <xf numFmtId="0" fontId="4" fillId="18" borderId="1" xfId="0" applyFont="1" applyFill="1" applyBorder="1" applyAlignment="1">
      <alignment horizontal="center" vertical="center" wrapText="1"/>
    </xf>
    <xf numFmtId="0" fontId="4" fillId="18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2" fillId="21" borderId="1" xfId="0" applyFont="1" applyFill="1" applyBorder="1" applyAlignment="1">
      <alignment horizontal="left" vertical="center" wrapText="1"/>
    </xf>
    <xf numFmtId="0" fontId="4" fillId="21" borderId="1" xfId="0" applyFont="1" applyFill="1" applyBorder="1" applyAlignment="1">
      <alignment horizontal="left" vertical="center" wrapText="1"/>
    </xf>
    <xf numFmtId="0" fontId="13" fillId="21" borderId="1" xfId="0" applyFont="1" applyFill="1" applyBorder="1" applyAlignment="1">
      <alignment horizontal="left" vertical="center" wrapText="1"/>
    </xf>
    <xf numFmtId="3" fontId="14" fillId="21" borderId="1" xfId="0" applyNumberFormat="1" applyFont="1" applyFill="1" applyBorder="1" applyAlignment="1">
      <alignment horizontal="center" vertical="center" wrapText="1"/>
    </xf>
    <xf numFmtId="0" fontId="12" fillId="19" borderId="1" xfId="0" applyFont="1" applyFill="1" applyBorder="1" applyAlignment="1">
      <alignment horizontal="left" vertical="center" wrapText="1"/>
    </xf>
    <xf numFmtId="0" fontId="4" fillId="19" borderId="1" xfId="0" applyFont="1" applyFill="1" applyBorder="1" applyAlignment="1">
      <alignment horizontal="left" vertical="center" wrapText="1"/>
    </xf>
    <xf numFmtId="0" fontId="13" fillId="19" borderId="1" xfId="0" applyFont="1" applyFill="1" applyBorder="1" applyAlignment="1">
      <alignment horizontal="left" vertical="center" wrapText="1"/>
    </xf>
    <xf numFmtId="3" fontId="15" fillId="19" borderId="1" xfId="0" applyNumberFormat="1" applyFont="1" applyFill="1" applyBorder="1" applyAlignment="1">
      <alignment horizontal="center" vertical="center" wrapText="1"/>
    </xf>
    <xf numFmtId="3" fontId="14" fillId="19" borderId="1" xfId="0" applyNumberFormat="1" applyFont="1" applyFill="1" applyBorder="1" applyAlignment="1">
      <alignment horizontal="center" vertical="center" wrapText="1"/>
    </xf>
    <xf numFmtId="3" fontId="15" fillId="21" borderId="1" xfId="0" applyNumberFormat="1" applyFont="1" applyFill="1" applyBorder="1" applyAlignment="1">
      <alignment horizontal="center" vertical="center" wrapText="1"/>
    </xf>
    <xf numFmtId="3" fontId="8" fillId="2" borderId="1" xfId="0" applyNumberFormat="1" applyFont="1" applyFill="1" applyBorder="1" applyAlignment="1">
      <alignment horizontal="center" vertical="center" wrapText="1"/>
    </xf>
    <xf numFmtId="0" fontId="16" fillId="20" borderId="1" xfId="0" applyFont="1" applyFill="1" applyBorder="1" applyAlignment="1">
      <alignment horizontal="center" vertical="center" wrapText="1"/>
    </xf>
    <xf numFmtId="3" fontId="16" fillId="20" borderId="1" xfId="0" applyNumberFormat="1" applyFont="1" applyFill="1" applyBorder="1" applyAlignment="1">
      <alignment horizontal="center" vertical="center" wrapText="1"/>
    </xf>
    <xf numFmtId="0" fontId="17" fillId="6" borderId="1" xfId="0" applyFont="1" applyFill="1" applyBorder="1" applyAlignment="1">
      <alignment horizontal="center" vertical="center" wrapText="1"/>
    </xf>
    <xf numFmtId="0" fontId="18" fillId="7" borderId="1" xfId="0" applyFont="1" applyFill="1" applyBorder="1" applyAlignment="1">
      <alignment horizontal="center" vertical="center" wrapText="1"/>
    </xf>
    <xf numFmtId="0" fontId="19" fillId="8" borderId="1" xfId="0" applyFont="1" applyFill="1" applyBorder="1" applyAlignment="1">
      <alignment horizontal="center" vertical="center" wrapText="1"/>
    </xf>
    <xf numFmtId="0" fontId="15" fillId="21" borderId="2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left" vertical="center" wrapText="1"/>
    </xf>
    <xf numFmtId="0" fontId="8" fillId="17" borderId="2" xfId="0" applyFont="1" applyFill="1" applyBorder="1" applyAlignment="1">
      <alignment horizontal="left" vertical="center" wrapText="1"/>
    </xf>
    <xf numFmtId="0" fontId="8" fillId="9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CD"/>
      <rgbColor rgb="FFFFFF00"/>
      <rgbColor rgb="FFFF00FF"/>
      <rgbColor rgb="FF00FFFF"/>
      <rgbColor rgb="FF8A1A1A"/>
      <rgbColor rgb="FF008000"/>
      <rgbColor rgb="FF000080"/>
      <rgbColor rgb="FF856404"/>
      <rgbColor rgb="FF800080"/>
      <rgbColor rgb="FF028090"/>
      <rgbColor rgb="FFC0C8D8"/>
      <rgbColor rgb="FF808080"/>
      <rgbColor rgb="FF9999FF"/>
      <rgbColor rgb="FF8A5200"/>
      <rgbColor rgb="FFFFF3CD"/>
      <rgbColor rgb="FFE8FEFE"/>
      <rgbColor rgb="FF6A1A8A"/>
      <rgbColor rgb="FFFF8080"/>
      <rgbColor rgb="FF005A8A"/>
      <rgbColor rgb="FFEAF0FF"/>
      <rgbColor rgb="FF000080"/>
      <rgbColor rgb="FFFF00FF"/>
      <rgbColor rgb="FFFFFF00"/>
      <rgbColor rgb="FF00FFFF"/>
      <rgbColor rgb="FF800080"/>
      <rgbColor rgb="FF800000"/>
      <rgbColor rgb="FF1A7A45"/>
      <rgbColor rgb="FF0000FF"/>
      <rgbColor rgb="FF00CCFF"/>
      <rgbColor rgb="FFE8FEF0"/>
      <rgbColor rgb="FFD6F5E3"/>
      <rgbColor rgb="FFFEF8E8"/>
      <rgbColor rgb="FFF2F4F8"/>
      <rgbColor rgb="FFFEE8E8"/>
      <rgbColor rgb="FFFDE8FE"/>
      <rgbColor rgb="FFFCE4E4"/>
      <rgbColor rgb="FF2E5FA3"/>
      <rgbColor rgb="FF33CCCC"/>
      <rgbColor rgb="FF99CC00"/>
      <rgbColor rgb="FFFFCC00"/>
      <rgbColor rgb="FFFF9900"/>
      <rgbColor rgb="FFFF6600"/>
      <rgbColor rgb="FF44556A"/>
      <rgbColor rgb="FF969696"/>
      <rgbColor rgb="FF1E2761"/>
      <rgbColor rgb="FF339966"/>
      <rgbColor rgb="FF003300"/>
      <rgbColor rgb="FF333300"/>
      <rgbColor rgb="FFA42020"/>
      <rgbColor rgb="FF993366"/>
      <rgbColor rgb="FF1A4FA3"/>
      <rgbColor rgb="FF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zoomScaleNormal="100" workbookViewId="0">
      <pane ySplit="4" topLeftCell="A29" activePane="bottomLeft" state="frozen"/>
      <selection pane="bottomLeft" sqref="A1:H1"/>
    </sheetView>
  </sheetViews>
  <sheetFormatPr defaultColWidth="8.6640625" defaultRowHeight="14.4" x14ac:dyDescent="0.3"/>
  <cols>
    <col min="1" max="1" width="4" customWidth="1"/>
    <col min="2" max="2" width="44" customWidth="1"/>
    <col min="3" max="3" width="10" customWidth="1"/>
    <col min="4" max="7" width="13" customWidth="1"/>
    <col min="8" max="8" width="42" customWidth="1"/>
  </cols>
  <sheetData>
    <row r="1" spans="1:8" ht="31.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</row>
    <row r="2" spans="1:8" ht="18" customHeight="1" x14ac:dyDescent="0.3">
      <c r="A2" s="13" t="s">
        <v>1</v>
      </c>
      <c r="B2" s="13"/>
      <c r="C2" s="13"/>
      <c r="D2" s="13"/>
      <c r="E2" s="13"/>
      <c r="F2" s="13"/>
      <c r="G2" s="13"/>
      <c r="H2" s="13"/>
    </row>
    <row r="3" spans="1:8" ht="6" customHeight="1" x14ac:dyDescent="0.3"/>
    <row r="4" spans="1:8" ht="42" customHeight="1" x14ac:dyDescent="0.3">
      <c r="A4" s="15" t="s">
        <v>2</v>
      </c>
      <c r="B4" s="15" t="s">
        <v>3</v>
      </c>
      <c r="C4" s="15" t="s">
        <v>4</v>
      </c>
      <c r="D4" s="15" t="s">
        <v>5</v>
      </c>
      <c r="E4" s="15" t="s">
        <v>6</v>
      </c>
      <c r="F4" s="15" t="s">
        <v>7</v>
      </c>
      <c r="G4" s="15" t="s">
        <v>8</v>
      </c>
      <c r="H4" s="15" t="s">
        <v>9</v>
      </c>
    </row>
    <row r="5" spans="1:8" ht="18" customHeight="1" x14ac:dyDescent="0.3">
      <c r="A5" s="12" t="s">
        <v>10</v>
      </c>
      <c r="B5" s="12"/>
      <c r="C5" s="12"/>
      <c r="D5" s="12"/>
      <c r="E5" s="12"/>
      <c r="F5" s="12"/>
      <c r="G5" s="12"/>
      <c r="H5" s="12"/>
    </row>
    <row r="6" spans="1:8" ht="30" customHeight="1" x14ac:dyDescent="0.3">
      <c r="A6" s="16">
        <v>1</v>
      </c>
      <c r="B6" s="17" t="s">
        <v>11</v>
      </c>
      <c r="C6" s="16" t="s">
        <v>12</v>
      </c>
      <c r="D6" s="18">
        <v>3</v>
      </c>
      <c r="E6" s="19">
        <v>4</v>
      </c>
      <c r="F6" s="16">
        <f>D6*6/100</f>
        <v>0.18</v>
      </c>
      <c r="G6" s="16">
        <f>E6*6/100</f>
        <v>0.24</v>
      </c>
      <c r="H6" s="17" t="s">
        <v>13</v>
      </c>
    </row>
    <row r="7" spans="1:8" ht="30" customHeight="1" x14ac:dyDescent="0.3">
      <c r="A7" s="16">
        <v>2</v>
      </c>
      <c r="B7" s="17" t="s">
        <v>14</v>
      </c>
      <c r="C7" s="16" t="s">
        <v>15</v>
      </c>
      <c r="D7" s="18">
        <v>3</v>
      </c>
      <c r="E7" s="18">
        <v>3</v>
      </c>
      <c r="F7" s="16">
        <f>D7*8/100</f>
        <v>0.24</v>
      </c>
      <c r="G7" s="16">
        <f>E7*8/100</f>
        <v>0.24</v>
      </c>
      <c r="H7" s="17" t="s">
        <v>16</v>
      </c>
    </row>
    <row r="8" spans="1:8" ht="30" customHeight="1" x14ac:dyDescent="0.3">
      <c r="A8" s="16">
        <v>3</v>
      </c>
      <c r="B8" s="17" t="s">
        <v>17</v>
      </c>
      <c r="C8" s="16" t="s">
        <v>18</v>
      </c>
      <c r="D8" s="19">
        <v>4</v>
      </c>
      <c r="E8" s="20">
        <v>2</v>
      </c>
      <c r="F8" s="16">
        <f>D8*7/100</f>
        <v>0.28000000000000003</v>
      </c>
      <c r="G8" s="16">
        <f>E8*7/100</f>
        <v>0.14000000000000001</v>
      </c>
      <c r="H8" s="17" t="s">
        <v>19</v>
      </c>
    </row>
    <row r="9" spans="1:8" ht="30" customHeight="1" x14ac:dyDescent="0.3">
      <c r="A9" s="16">
        <v>4</v>
      </c>
      <c r="B9" s="17" t="s">
        <v>20</v>
      </c>
      <c r="C9" s="16" t="s">
        <v>21</v>
      </c>
      <c r="D9" s="19">
        <v>5</v>
      </c>
      <c r="E9" s="20">
        <v>2</v>
      </c>
      <c r="F9" s="16">
        <f>D9*5/100</f>
        <v>0.25</v>
      </c>
      <c r="G9" s="16">
        <f>E9*5/100</f>
        <v>0.1</v>
      </c>
      <c r="H9" s="17" t="s">
        <v>22</v>
      </c>
    </row>
    <row r="10" spans="1:8" ht="30" customHeight="1" x14ac:dyDescent="0.3">
      <c r="A10" s="16">
        <v>5</v>
      </c>
      <c r="B10" s="17" t="s">
        <v>23</v>
      </c>
      <c r="C10" s="16" t="s">
        <v>24</v>
      </c>
      <c r="D10" s="20">
        <v>2</v>
      </c>
      <c r="E10" s="18">
        <v>3</v>
      </c>
      <c r="F10" s="16">
        <f>D10*4/100</f>
        <v>0.08</v>
      </c>
      <c r="G10" s="16">
        <f>E10*4/100</f>
        <v>0.12</v>
      </c>
      <c r="H10" s="17" t="s">
        <v>25</v>
      </c>
    </row>
    <row r="11" spans="1:8" ht="30" customHeight="1" x14ac:dyDescent="0.3">
      <c r="A11" s="16">
        <v>6</v>
      </c>
      <c r="B11" s="17" t="s">
        <v>26</v>
      </c>
      <c r="C11" s="16" t="s">
        <v>27</v>
      </c>
      <c r="D11" s="20">
        <v>2</v>
      </c>
      <c r="E11" s="19">
        <v>4</v>
      </c>
      <c r="F11" s="16">
        <f>D11*3/100</f>
        <v>0.06</v>
      </c>
      <c r="G11" s="16">
        <f>E11*3/100</f>
        <v>0.12</v>
      </c>
      <c r="H11" s="17" t="s">
        <v>28</v>
      </c>
    </row>
    <row r="12" spans="1:8" ht="30" customHeight="1" x14ac:dyDescent="0.3">
      <c r="A12" s="16">
        <v>7</v>
      </c>
      <c r="B12" s="17" t="s">
        <v>29</v>
      </c>
      <c r="C12" s="16" t="s">
        <v>27</v>
      </c>
      <c r="D12" s="18">
        <v>3</v>
      </c>
      <c r="E12" s="18">
        <v>3</v>
      </c>
      <c r="F12" s="16">
        <f>D12*3/100</f>
        <v>0.09</v>
      </c>
      <c r="G12" s="16">
        <f>E12*3/100</f>
        <v>0.09</v>
      </c>
      <c r="H12" s="17" t="s">
        <v>30</v>
      </c>
    </row>
    <row r="13" spans="1:8" ht="18" customHeight="1" x14ac:dyDescent="0.3">
      <c r="A13" s="11" t="s">
        <v>31</v>
      </c>
      <c r="B13" s="11"/>
      <c r="C13" s="11"/>
      <c r="D13" s="11"/>
      <c r="E13" s="11"/>
      <c r="F13" s="11"/>
      <c r="G13" s="11"/>
      <c r="H13" s="11"/>
    </row>
    <row r="14" spans="1:8" ht="30" customHeight="1" x14ac:dyDescent="0.3">
      <c r="A14" s="21">
        <v>8</v>
      </c>
      <c r="B14" s="22" t="s">
        <v>32</v>
      </c>
      <c r="C14" s="21" t="s">
        <v>33</v>
      </c>
      <c r="D14" s="20">
        <v>2</v>
      </c>
      <c r="E14" s="19">
        <v>5</v>
      </c>
      <c r="F14" s="21">
        <f>D14*9/100</f>
        <v>0.18</v>
      </c>
      <c r="G14" s="21">
        <f>E14*9/100</f>
        <v>0.45</v>
      </c>
      <c r="H14" s="22" t="s">
        <v>34</v>
      </c>
    </row>
    <row r="15" spans="1:8" ht="30" customHeight="1" x14ac:dyDescent="0.3">
      <c r="A15" s="21">
        <v>9</v>
      </c>
      <c r="B15" s="22" t="s">
        <v>35</v>
      </c>
      <c r="C15" s="21" t="s">
        <v>15</v>
      </c>
      <c r="D15" s="20">
        <v>2</v>
      </c>
      <c r="E15" s="19">
        <v>5</v>
      </c>
      <c r="F15" s="21">
        <f>D15*8/100</f>
        <v>0.16</v>
      </c>
      <c r="G15" s="21">
        <f>E15*8/100</f>
        <v>0.4</v>
      </c>
      <c r="H15" s="22" t="s">
        <v>36</v>
      </c>
    </row>
    <row r="16" spans="1:8" ht="30" customHeight="1" x14ac:dyDescent="0.3">
      <c r="A16" s="21">
        <v>10</v>
      </c>
      <c r="B16" s="22" t="s">
        <v>37</v>
      </c>
      <c r="C16" s="21" t="s">
        <v>21</v>
      </c>
      <c r="D16" s="20">
        <v>2</v>
      </c>
      <c r="E16" s="19">
        <v>4</v>
      </c>
      <c r="F16" s="21">
        <f>D16*5/100</f>
        <v>0.1</v>
      </c>
      <c r="G16" s="21">
        <f>E16*5/100</f>
        <v>0.2</v>
      </c>
      <c r="H16" s="22" t="s">
        <v>38</v>
      </c>
    </row>
    <row r="17" spans="1:8" ht="30" customHeight="1" x14ac:dyDescent="0.3">
      <c r="A17" s="21">
        <v>11</v>
      </c>
      <c r="B17" s="22" t="s">
        <v>39</v>
      </c>
      <c r="C17" s="21" t="s">
        <v>24</v>
      </c>
      <c r="D17" s="20">
        <v>2</v>
      </c>
      <c r="E17" s="19">
        <v>4</v>
      </c>
      <c r="F17" s="21">
        <f>D17*4/100</f>
        <v>0.08</v>
      </c>
      <c r="G17" s="21">
        <f>E17*4/100</f>
        <v>0.16</v>
      </c>
      <c r="H17" s="22" t="s">
        <v>40</v>
      </c>
    </row>
    <row r="18" spans="1:8" ht="30" customHeight="1" x14ac:dyDescent="0.3">
      <c r="A18" s="21">
        <v>12</v>
      </c>
      <c r="B18" s="22" t="s">
        <v>41</v>
      </c>
      <c r="C18" s="21" t="s">
        <v>24</v>
      </c>
      <c r="D18" s="20">
        <v>2</v>
      </c>
      <c r="E18" s="19">
        <v>4</v>
      </c>
      <c r="F18" s="21">
        <f>D18*4/100</f>
        <v>0.08</v>
      </c>
      <c r="G18" s="21">
        <f>E18*4/100</f>
        <v>0.16</v>
      </c>
      <c r="H18" s="22" t="s">
        <v>42</v>
      </c>
    </row>
    <row r="19" spans="1:8" ht="18" customHeight="1" x14ac:dyDescent="0.3">
      <c r="A19" s="10" t="s">
        <v>43</v>
      </c>
      <c r="B19" s="10"/>
      <c r="C19" s="10"/>
      <c r="D19" s="10"/>
      <c r="E19" s="10"/>
      <c r="F19" s="10"/>
      <c r="G19" s="10"/>
      <c r="H19" s="10"/>
    </row>
    <row r="20" spans="1:8" ht="30" customHeight="1" x14ac:dyDescent="0.3">
      <c r="A20" s="23">
        <v>13</v>
      </c>
      <c r="B20" s="24" t="s">
        <v>44</v>
      </c>
      <c r="C20" s="23" t="s">
        <v>12</v>
      </c>
      <c r="D20" s="20">
        <v>1</v>
      </c>
      <c r="E20" s="19">
        <v>5</v>
      </c>
      <c r="F20" s="23">
        <f>D20*6/100</f>
        <v>0.06</v>
      </c>
      <c r="G20" s="23">
        <f>E20*6/100</f>
        <v>0.3</v>
      </c>
      <c r="H20" s="24" t="s">
        <v>45</v>
      </c>
    </row>
    <row r="21" spans="1:8" ht="30" customHeight="1" x14ac:dyDescent="0.3">
      <c r="A21" s="23">
        <v>14</v>
      </c>
      <c r="B21" s="24" t="s">
        <v>46</v>
      </c>
      <c r="C21" s="23" t="s">
        <v>12</v>
      </c>
      <c r="D21" s="20">
        <v>2</v>
      </c>
      <c r="E21" s="19">
        <v>5</v>
      </c>
      <c r="F21" s="23">
        <f>D21*6/100</f>
        <v>0.12</v>
      </c>
      <c r="G21" s="23">
        <f>E21*6/100</f>
        <v>0.3</v>
      </c>
      <c r="H21" s="24" t="s">
        <v>47</v>
      </c>
    </row>
    <row r="22" spans="1:8" ht="30" customHeight="1" x14ac:dyDescent="0.3">
      <c r="A22" s="23">
        <v>15</v>
      </c>
      <c r="B22" s="24" t="s">
        <v>48</v>
      </c>
      <c r="C22" s="23" t="s">
        <v>21</v>
      </c>
      <c r="D22" s="20">
        <v>2</v>
      </c>
      <c r="E22" s="19">
        <v>4</v>
      </c>
      <c r="F22" s="23">
        <f>D22*5/100</f>
        <v>0.1</v>
      </c>
      <c r="G22" s="23">
        <f>E22*5/100</f>
        <v>0.2</v>
      </c>
      <c r="H22" s="24" t="s">
        <v>49</v>
      </c>
    </row>
    <row r="23" spans="1:8" ht="30" customHeight="1" x14ac:dyDescent="0.3">
      <c r="A23" s="23">
        <v>16</v>
      </c>
      <c r="B23" s="24" t="s">
        <v>50</v>
      </c>
      <c r="C23" s="23" t="s">
        <v>21</v>
      </c>
      <c r="D23" s="20">
        <v>2</v>
      </c>
      <c r="E23" s="19">
        <v>5</v>
      </c>
      <c r="F23" s="23">
        <f>D23*5/100</f>
        <v>0.1</v>
      </c>
      <c r="G23" s="23">
        <f>E23*5/100</f>
        <v>0.25</v>
      </c>
      <c r="H23" s="24" t="s">
        <v>51</v>
      </c>
    </row>
    <row r="24" spans="1:8" ht="30" customHeight="1" x14ac:dyDescent="0.3">
      <c r="A24" s="23">
        <v>17</v>
      </c>
      <c r="B24" s="24" t="s">
        <v>52</v>
      </c>
      <c r="C24" s="23" t="s">
        <v>24</v>
      </c>
      <c r="D24" s="18">
        <v>3</v>
      </c>
      <c r="E24" s="19">
        <v>5</v>
      </c>
      <c r="F24" s="23">
        <f>D24*4/100</f>
        <v>0.12</v>
      </c>
      <c r="G24" s="23">
        <f>E24*4/100</f>
        <v>0.2</v>
      </c>
      <c r="H24" s="24" t="s">
        <v>53</v>
      </c>
    </row>
    <row r="25" spans="1:8" ht="18" customHeight="1" x14ac:dyDescent="0.3">
      <c r="A25" s="9" t="s">
        <v>54</v>
      </c>
      <c r="B25" s="9"/>
      <c r="C25" s="9"/>
      <c r="D25" s="9"/>
      <c r="E25" s="9"/>
      <c r="F25" s="9"/>
      <c r="G25" s="9"/>
      <c r="H25" s="9"/>
    </row>
    <row r="26" spans="1:8" ht="30" customHeight="1" x14ac:dyDescent="0.3">
      <c r="A26" s="25">
        <v>18</v>
      </c>
      <c r="B26" s="26" t="s">
        <v>55</v>
      </c>
      <c r="C26" s="25" t="s">
        <v>21</v>
      </c>
      <c r="D26" s="18">
        <v>3</v>
      </c>
      <c r="E26" s="19">
        <v>5</v>
      </c>
      <c r="F26" s="25">
        <f>D26*5/100</f>
        <v>0.15</v>
      </c>
      <c r="G26" s="25">
        <f>E26*5/100</f>
        <v>0.25</v>
      </c>
      <c r="H26" s="26" t="s">
        <v>56</v>
      </c>
    </row>
    <row r="27" spans="1:8" ht="30" customHeight="1" x14ac:dyDescent="0.3">
      <c r="A27" s="25">
        <v>19</v>
      </c>
      <c r="B27" s="26" t="s">
        <v>57</v>
      </c>
      <c r="C27" s="25" t="s">
        <v>27</v>
      </c>
      <c r="D27" s="18">
        <v>3</v>
      </c>
      <c r="E27" s="19">
        <v>5</v>
      </c>
      <c r="F27" s="25">
        <f>D27*3/100</f>
        <v>0.09</v>
      </c>
      <c r="G27" s="25">
        <f>E27*3/100</f>
        <v>0.15</v>
      </c>
      <c r="H27" s="26" t="s">
        <v>58</v>
      </c>
    </row>
    <row r="28" spans="1:8" ht="30" customHeight="1" x14ac:dyDescent="0.3">
      <c r="A28" s="25">
        <v>20</v>
      </c>
      <c r="B28" s="26" t="s">
        <v>59</v>
      </c>
      <c r="C28" s="25" t="s">
        <v>21</v>
      </c>
      <c r="D28" s="20">
        <v>2</v>
      </c>
      <c r="E28" s="19">
        <v>4</v>
      </c>
      <c r="F28" s="25">
        <f>D28*5/100</f>
        <v>0.1</v>
      </c>
      <c r="G28" s="25">
        <f>E28*5/100</f>
        <v>0.2</v>
      </c>
      <c r="H28" s="26" t="s">
        <v>60</v>
      </c>
    </row>
    <row r="29" spans="1:8" ht="18" customHeight="1" x14ac:dyDescent="0.3">
      <c r="A29" s="8" t="s">
        <v>61</v>
      </c>
      <c r="B29" s="8"/>
      <c r="C29" s="8"/>
      <c r="D29" s="8"/>
      <c r="E29" s="8"/>
      <c r="F29" s="8"/>
      <c r="G29" s="8"/>
      <c r="H29" s="8"/>
    </row>
    <row r="30" spans="1:8" ht="30" customHeight="1" x14ac:dyDescent="0.3">
      <c r="A30" s="27">
        <v>21</v>
      </c>
      <c r="B30" s="28" t="s">
        <v>62</v>
      </c>
      <c r="C30" s="27" t="s">
        <v>24</v>
      </c>
      <c r="D30" s="19">
        <v>5</v>
      </c>
      <c r="E30" s="20">
        <v>2</v>
      </c>
      <c r="F30" s="27">
        <f>D30*4/100</f>
        <v>0.2</v>
      </c>
      <c r="G30" s="27">
        <f>E30*4/100</f>
        <v>0.08</v>
      </c>
      <c r="H30" s="28" t="s">
        <v>63</v>
      </c>
    </row>
    <row r="31" spans="1:8" ht="30" customHeight="1" x14ac:dyDescent="0.3">
      <c r="A31" s="27">
        <v>22</v>
      </c>
      <c r="B31" s="28" t="s">
        <v>64</v>
      </c>
      <c r="C31" s="27" t="s">
        <v>24</v>
      </c>
      <c r="D31" s="19">
        <v>4</v>
      </c>
      <c r="E31" s="18">
        <v>3</v>
      </c>
      <c r="F31" s="27">
        <f>D31*4/100</f>
        <v>0.16</v>
      </c>
      <c r="G31" s="27">
        <f>E31*4/100</f>
        <v>0.12</v>
      </c>
      <c r="H31" s="28" t="s">
        <v>65</v>
      </c>
    </row>
    <row r="32" spans="1:8" ht="30" customHeight="1" x14ac:dyDescent="0.3">
      <c r="A32" s="27">
        <v>23</v>
      </c>
      <c r="B32" s="28" t="s">
        <v>66</v>
      </c>
      <c r="C32" s="27" t="s">
        <v>27</v>
      </c>
      <c r="D32" s="20">
        <v>2</v>
      </c>
      <c r="E32" s="19">
        <v>4</v>
      </c>
      <c r="F32" s="27">
        <f>D32*3/100</f>
        <v>0.06</v>
      </c>
      <c r="G32" s="27">
        <f>E32*3/100</f>
        <v>0.12</v>
      </c>
      <c r="H32" s="28" t="s">
        <v>67</v>
      </c>
    </row>
    <row r="33" spans="1:8" ht="18" customHeight="1" x14ac:dyDescent="0.3">
      <c r="A33" s="7" t="s">
        <v>68</v>
      </c>
      <c r="B33" s="7"/>
      <c r="C33" s="7"/>
      <c r="D33" s="7"/>
      <c r="E33" s="7"/>
      <c r="F33" s="7"/>
      <c r="G33" s="7"/>
      <c r="H33" s="7"/>
    </row>
    <row r="34" spans="1:8" ht="30" customHeight="1" x14ac:dyDescent="0.3">
      <c r="A34" s="29">
        <v>24</v>
      </c>
      <c r="B34" s="30" t="s">
        <v>69</v>
      </c>
      <c r="C34" s="29" t="s">
        <v>24</v>
      </c>
      <c r="D34" s="19">
        <v>4</v>
      </c>
      <c r="E34" s="18">
        <v>3</v>
      </c>
      <c r="F34" s="29">
        <f>D34*4/100</f>
        <v>0.16</v>
      </c>
      <c r="G34" s="29">
        <f>E34*4/100</f>
        <v>0.12</v>
      </c>
      <c r="H34" s="30" t="s">
        <v>70</v>
      </c>
    </row>
    <row r="35" spans="1:8" ht="30" customHeight="1" x14ac:dyDescent="0.3">
      <c r="A35" s="29">
        <v>25</v>
      </c>
      <c r="B35" s="30" t="s">
        <v>71</v>
      </c>
      <c r="C35" s="29" t="s">
        <v>24</v>
      </c>
      <c r="D35" s="20">
        <v>2</v>
      </c>
      <c r="E35" s="19">
        <v>4</v>
      </c>
      <c r="F35" s="29">
        <f>D35*4/100</f>
        <v>0.08</v>
      </c>
      <c r="G35" s="29">
        <f>E35*4/100</f>
        <v>0.16</v>
      </c>
      <c r="H35" s="30" t="s">
        <v>72</v>
      </c>
    </row>
    <row r="36" spans="1:8" ht="30" customHeight="1" x14ac:dyDescent="0.3">
      <c r="A36" s="29">
        <v>26</v>
      </c>
      <c r="B36" s="30" t="s">
        <v>73</v>
      </c>
      <c r="C36" s="29" t="s">
        <v>27</v>
      </c>
      <c r="D36" s="18">
        <v>3</v>
      </c>
      <c r="E36" s="18">
        <v>3</v>
      </c>
      <c r="F36" s="29">
        <f>D36*3/100</f>
        <v>0.09</v>
      </c>
      <c r="G36" s="29">
        <f>E36*3/100</f>
        <v>0.09</v>
      </c>
      <c r="H36" s="30" t="s">
        <v>74</v>
      </c>
    </row>
    <row r="37" spans="1:8" ht="25.5" customHeight="1" x14ac:dyDescent="0.3">
      <c r="A37" s="31"/>
      <c r="B37" s="31" t="s">
        <v>75</v>
      </c>
      <c r="C37" s="31" t="s">
        <v>76</v>
      </c>
      <c r="D37" s="31"/>
      <c r="E37" s="31"/>
      <c r="F37" s="31">
        <f>SUM(F5:F36)</f>
        <v>3.370000000000001</v>
      </c>
      <c r="G37" s="31">
        <f>SUM(G5:G36)</f>
        <v>4.9600000000000009</v>
      </c>
      <c r="H37" s="31" t="s">
        <v>77</v>
      </c>
    </row>
    <row r="39" spans="1:8" ht="15.75" customHeight="1" x14ac:dyDescent="0.3">
      <c r="A39" s="6" t="s">
        <v>78</v>
      </c>
      <c r="B39" s="6"/>
      <c r="C39" s="6"/>
      <c r="D39" s="6"/>
      <c r="E39" s="6"/>
      <c r="F39" s="6"/>
      <c r="G39" s="6"/>
      <c r="H39" s="6"/>
    </row>
  </sheetData>
  <mergeCells count="9">
    <mergeCell ref="A25:H25"/>
    <mergeCell ref="A29:H29"/>
    <mergeCell ref="A33:H33"/>
    <mergeCell ref="A39:H39"/>
    <mergeCell ref="A1:H1"/>
    <mergeCell ref="A2:H2"/>
    <mergeCell ref="A5:H5"/>
    <mergeCell ref="A13:H13"/>
    <mergeCell ref="A19:H1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7"/>
  <sheetViews>
    <sheetView zoomScaleNormal="100" workbookViewId="0">
      <pane ySplit="3" topLeftCell="A4" activePane="bottomLeft" state="frozen"/>
      <selection pane="bottomLeft" sqref="A1:H1"/>
    </sheetView>
  </sheetViews>
  <sheetFormatPr defaultColWidth="8.6640625" defaultRowHeight="14.4" x14ac:dyDescent="0.3"/>
  <cols>
    <col min="1" max="1" width="22" customWidth="1"/>
    <col min="2" max="2" width="38" customWidth="1"/>
    <col min="3" max="3" width="48" customWidth="1"/>
    <col min="4" max="9" width="13" customWidth="1"/>
  </cols>
  <sheetData>
    <row r="1" spans="1:9" ht="27.75" customHeight="1" x14ac:dyDescent="0.3">
      <c r="A1" s="5" t="s">
        <v>79</v>
      </c>
      <c r="B1" s="5"/>
      <c r="C1" s="5"/>
      <c r="D1" s="5"/>
      <c r="E1" s="5"/>
      <c r="F1" s="5"/>
      <c r="G1" s="5"/>
      <c r="H1" s="5"/>
    </row>
    <row r="2" spans="1:9" ht="15.75" customHeight="1" x14ac:dyDescent="0.3">
      <c r="A2" s="4" t="s">
        <v>80</v>
      </c>
      <c r="B2" s="4"/>
      <c r="C2" s="4"/>
      <c r="D2" s="4"/>
      <c r="E2" s="4"/>
      <c r="F2" s="4"/>
      <c r="G2" s="4"/>
      <c r="H2" s="4"/>
    </row>
    <row r="3" spans="1:9" ht="31.5" customHeight="1" x14ac:dyDescent="0.3">
      <c r="A3" s="15" t="s">
        <v>81</v>
      </c>
      <c r="B3" s="15" t="s">
        <v>82</v>
      </c>
      <c r="C3" s="15" t="s">
        <v>83</v>
      </c>
      <c r="D3" s="15" t="s">
        <v>84</v>
      </c>
      <c r="E3" s="15" t="s">
        <v>85</v>
      </c>
      <c r="F3" s="15" t="s">
        <v>86</v>
      </c>
      <c r="G3" s="15" t="s">
        <v>87</v>
      </c>
      <c r="H3" s="15" t="s">
        <v>88</v>
      </c>
      <c r="I3" s="15" t="s">
        <v>89</v>
      </c>
    </row>
    <row r="4" spans="1:9" ht="15.75" customHeight="1" x14ac:dyDescent="0.3">
      <c r="A4" s="3" t="s">
        <v>90</v>
      </c>
      <c r="B4" s="3"/>
      <c r="C4" s="3"/>
      <c r="D4" s="3"/>
      <c r="E4" s="3"/>
      <c r="F4" s="3"/>
      <c r="G4" s="3"/>
      <c r="H4" s="3"/>
      <c r="I4" s="3"/>
    </row>
    <row r="5" spans="1:9" ht="27.75" customHeight="1" x14ac:dyDescent="0.3">
      <c r="A5" s="32" t="s">
        <v>91</v>
      </c>
      <c r="B5" s="33" t="s">
        <v>92</v>
      </c>
      <c r="C5" s="34" t="s">
        <v>93</v>
      </c>
      <c r="D5" s="35">
        <v>350</v>
      </c>
      <c r="E5" s="35">
        <v>360</v>
      </c>
      <c r="F5" s="35">
        <v>380</v>
      </c>
      <c r="G5" s="35">
        <v>150</v>
      </c>
      <c r="H5" s="35">
        <v>155</v>
      </c>
      <c r="I5" s="35">
        <v>160</v>
      </c>
    </row>
    <row r="6" spans="1:9" ht="27.75" customHeight="1" x14ac:dyDescent="0.3">
      <c r="A6" s="36" t="s">
        <v>91</v>
      </c>
      <c r="B6" s="37" t="s">
        <v>94</v>
      </c>
      <c r="C6" s="38" t="s">
        <v>95</v>
      </c>
      <c r="D6" s="39">
        <v>0</v>
      </c>
      <c r="E6" s="39">
        <v>0</v>
      </c>
      <c r="F6" s="39">
        <v>0</v>
      </c>
      <c r="G6" s="39">
        <f>ROUND(G5*0.2,0)</f>
        <v>30</v>
      </c>
      <c r="H6" s="39">
        <f>ROUND(H5*0.2,0)</f>
        <v>31</v>
      </c>
      <c r="I6" s="39">
        <f>ROUND(I5*0.2,0)</f>
        <v>32</v>
      </c>
    </row>
    <row r="7" spans="1:9" ht="15.75" customHeight="1" x14ac:dyDescent="0.3">
      <c r="A7" s="10" t="s">
        <v>96</v>
      </c>
      <c r="B7" s="10"/>
      <c r="C7" s="10"/>
      <c r="D7" s="10"/>
      <c r="E7" s="10"/>
      <c r="F7" s="10"/>
      <c r="G7" s="10"/>
      <c r="H7" s="10"/>
      <c r="I7" s="10"/>
    </row>
    <row r="8" spans="1:9" ht="27.75" customHeight="1" x14ac:dyDescent="0.3">
      <c r="A8" s="36" t="s">
        <v>97</v>
      </c>
      <c r="B8" s="37" t="s">
        <v>98</v>
      </c>
      <c r="C8" s="38" t="s">
        <v>99</v>
      </c>
      <c r="D8" s="40">
        <v>40</v>
      </c>
      <c r="E8" s="40">
        <v>40</v>
      </c>
      <c r="F8" s="40">
        <v>40</v>
      </c>
      <c r="G8" s="40">
        <v>247</v>
      </c>
      <c r="H8" s="40">
        <v>247</v>
      </c>
      <c r="I8" s="40">
        <v>247</v>
      </c>
    </row>
    <row r="9" spans="1:9" ht="27.75" customHeight="1" x14ac:dyDescent="0.3">
      <c r="A9" s="32" t="s">
        <v>97</v>
      </c>
      <c r="B9" s="33" t="s">
        <v>100</v>
      </c>
      <c r="C9" s="34" t="s">
        <v>101</v>
      </c>
      <c r="D9" s="35">
        <v>30</v>
      </c>
      <c r="E9" s="35">
        <v>30</v>
      </c>
      <c r="F9" s="35">
        <v>30</v>
      </c>
      <c r="G9" s="35">
        <v>117</v>
      </c>
      <c r="H9" s="35">
        <v>117</v>
      </c>
      <c r="I9" s="35">
        <v>117</v>
      </c>
    </row>
    <row r="10" spans="1:9" ht="27.75" customHeight="1" x14ac:dyDescent="0.3">
      <c r="A10" s="36" t="s">
        <v>97</v>
      </c>
      <c r="B10" s="37" t="s">
        <v>102</v>
      </c>
      <c r="C10" s="38" t="s">
        <v>103</v>
      </c>
      <c r="D10" s="39">
        <v>0</v>
      </c>
      <c r="E10" s="39">
        <v>0</v>
      </c>
      <c r="F10" s="39">
        <v>0</v>
      </c>
      <c r="G10" s="40">
        <v>16</v>
      </c>
      <c r="H10" s="40">
        <v>16</v>
      </c>
      <c r="I10" s="40">
        <v>16</v>
      </c>
    </row>
    <row r="11" spans="1:9" ht="27.75" customHeight="1" x14ac:dyDescent="0.3">
      <c r="A11" s="32" t="s">
        <v>97</v>
      </c>
      <c r="B11" s="33" t="s">
        <v>104</v>
      </c>
      <c r="C11" s="34" t="s">
        <v>105</v>
      </c>
      <c r="D11" s="35">
        <v>5</v>
      </c>
      <c r="E11" s="35">
        <v>2</v>
      </c>
      <c r="F11" s="35">
        <v>2</v>
      </c>
      <c r="G11" s="35">
        <v>20</v>
      </c>
      <c r="H11" s="35">
        <v>5</v>
      </c>
      <c r="I11" s="35">
        <v>5</v>
      </c>
    </row>
    <row r="12" spans="1:9" ht="15.75" customHeight="1" x14ac:dyDescent="0.3">
      <c r="A12" s="12" t="s">
        <v>106</v>
      </c>
      <c r="B12" s="12"/>
      <c r="C12" s="12"/>
      <c r="D12" s="12"/>
      <c r="E12" s="12"/>
      <c r="F12" s="12"/>
      <c r="G12" s="12"/>
      <c r="H12" s="12"/>
      <c r="I12" s="12"/>
    </row>
    <row r="13" spans="1:9" ht="27.75" customHeight="1" x14ac:dyDescent="0.3">
      <c r="A13" s="32" t="s">
        <v>107</v>
      </c>
      <c r="B13" s="33" t="s">
        <v>108</v>
      </c>
      <c r="C13" s="34" t="s">
        <v>109</v>
      </c>
      <c r="D13" s="41">
        <v>0</v>
      </c>
      <c r="E13" s="41">
        <v>0</v>
      </c>
      <c r="F13" s="41">
        <v>0</v>
      </c>
      <c r="G13" s="35">
        <v>60</v>
      </c>
      <c r="H13" s="35">
        <v>63</v>
      </c>
      <c r="I13" s="35">
        <v>66</v>
      </c>
    </row>
    <row r="14" spans="1:9" ht="27.75" customHeight="1" x14ac:dyDescent="0.3">
      <c r="A14" s="36" t="s">
        <v>107</v>
      </c>
      <c r="B14" s="37" t="s">
        <v>110</v>
      </c>
      <c r="C14" s="38" t="s">
        <v>111</v>
      </c>
      <c r="D14" s="40">
        <v>10</v>
      </c>
      <c r="E14" s="40">
        <v>12</v>
      </c>
      <c r="F14" s="40">
        <v>14</v>
      </c>
      <c r="G14" s="40">
        <v>15</v>
      </c>
      <c r="H14" s="40">
        <v>16</v>
      </c>
      <c r="I14" s="40">
        <v>17</v>
      </c>
    </row>
    <row r="15" spans="1:9" ht="27.75" customHeight="1" x14ac:dyDescent="0.3">
      <c r="A15" s="32" t="s">
        <v>107</v>
      </c>
      <c r="B15" s="33" t="s">
        <v>112</v>
      </c>
      <c r="C15" s="34" t="s">
        <v>113</v>
      </c>
      <c r="D15" s="41">
        <v>0</v>
      </c>
      <c r="E15" s="41">
        <v>0</v>
      </c>
      <c r="F15" s="41">
        <v>0</v>
      </c>
      <c r="G15" s="35">
        <v>80</v>
      </c>
      <c r="H15" s="35">
        <v>82</v>
      </c>
      <c r="I15" s="35">
        <v>84</v>
      </c>
    </row>
    <row r="16" spans="1:9" ht="27.75" customHeight="1" x14ac:dyDescent="0.3">
      <c r="A16" s="36" t="s">
        <v>107</v>
      </c>
      <c r="B16" s="37" t="s">
        <v>114</v>
      </c>
      <c r="C16" s="38" t="s">
        <v>115</v>
      </c>
      <c r="D16" s="40">
        <v>5</v>
      </c>
      <c r="E16" s="40">
        <v>5</v>
      </c>
      <c r="F16" s="40">
        <v>5</v>
      </c>
      <c r="G16" s="40">
        <v>25</v>
      </c>
      <c r="H16" s="40">
        <v>25</v>
      </c>
      <c r="I16" s="40">
        <v>25</v>
      </c>
    </row>
    <row r="17" spans="1:9" ht="27.75" customHeight="1" x14ac:dyDescent="0.3">
      <c r="A17" s="32" t="s">
        <v>107</v>
      </c>
      <c r="B17" s="33" t="s">
        <v>116</v>
      </c>
      <c r="C17" s="34" t="s">
        <v>117</v>
      </c>
      <c r="D17" s="41">
        <v>0</v>
      </c>
      <c r="E17" s="41">
        <v>0</v>
      </c>
      <c r="F17" s="41">
        <v>0</v>
      </c>
      <c r="G17" s="35">
        <v>18</v>
      </c>
      <c r="H17" s="35">
        <v>18</v>
      </c>
      <c r="I17" s="35">
        <v>18</v>
      </c>
    </row>
    <row r="18" spans="1:9" ht="15.75" customHeight="1" x14ac:dyDescent="0.3">
      <c r="A18" s="9" t="s">
        <v>118</v>
      </c>
      <c r="B18" s="9"/>
      <c r="C18" s="9"/>
      <c r="D18" s="9"/>
      <c r="E18" s="9"/>
      <c r="F18" s="9"/>
      <c r="G18" s="9"/>
      <c r="H18" s="9"/>
      <c r="I18" s="9"/>
    </row>
    <row r="19" spans="1:9" ht="27.75" customHeight="1" x14ac:dyDescent="0.3">
      <c r="A19" s="32" t="s">
        <v>119</v>
      </c>
      <c r="B19" s="33" t="s">
        <v>120</v>
      </c>
      <c r="C19" s="34" t="s">
        <v>121</v>
      </c>
      <c r="D19" s="35">
        <v>80</v>
      </c>
      <c r="E19" s="41">
        <v>0</v>
      </c>
      <c r="F19" s="41">
        <v>0</v>
      </c>
      <c r="G19" s="35">
        <v>120</v>
      </c>
      <c r="H19" s="41">
        <v>0</v>
      </c>
      <c r="I19" s="41">
        <v>0</v>
      </c>
    </row>
    <row r="20" spans="1:9" ht="27.75" customHeight="1" x14ac:dyDescent="0.3">
      <c r="A20" s="36" t="s">
        <v>119</v>
      </c>
      <c r="B20" s="37" t="s">
        <v>122</v>
      </c>
      <c r="C20" s="38" t="s">
        <v>123</v>
      </c>
      <c r="D20" s="40">
        <v>20</v>
      </c>
      <c r="E20" s="40">
        <v>20</v>
      </c>
      <c r="F20" s="40">
        <v>20</v>
      </c>
      <c r="G20" s="40">
        <v>15</v>
      </c>
      <c r="H20" s="40">
        <v>15</v>
      </c>
      <c r="I20" s="40">
        <v>15</v>
      </c>
    </row>
    <row r="21" spans="1:9" ht="27.75" customHeight="1" x14ac:dyDescent="0.3">
      <c r="A21" s="32" t="s">
        <v>119</v>
      </c>
      <c r="B21" s="33" t="s">
        <v>124</v>
      </c>
      <c r="C21" s="34" t="s">
        <v>125</v>
      </c>
      <c r="D21" s="35">
        <v>10</v>
      </c>
      <c r="E21" s="35">
        <v>5</v>
      </c>
      <c r="F21" s="35">
        <v>5</v>
      </c>
      <c r="G21" s="35">
        <v>30</v>
      </c>
      <c r="H21" s="35">
        <v>10</v>
      </c>
      <c r="I21" s="35">
        <v>10</v>
      </c>
    </row>
    <row r="22" spans="1:9" ht="15.75" customHeight="1" x14ac:dyDescent="0.3">
      <c r="A22" s="7" t="s">
        <v>126</v>
      </c>
      <c r="B22" s="7"/>
      <c r="C22" s="7"/>
      <c r="D22" s="7"/>
      <c r="E22" s="7"/>
      <c r="F22" s="7"/>
      <c r="G22" s="7"/>
      <c r="H22" s="7"/>
      <c r="I22" s="7"/>
    </row>
    <row r="23" spans="1:9" ht="27.75" customHeight="1" x14ac:dyDescent="0.3">
      <c r="A23" s="32" t="s">
        <v>127</v>
      </c>
      <c r="B23" s="33" t="s">
        <v>128</v>
      </c>
      <c r="C23" s="34" t="s">
        <v>129</v>
      </c>
      <c r="D23" s="35">
        <v>15</v>
      </c>
      <c r="E23" s="35">
        <v>15</v>
      </c>
      <c r="F23" s="35">
        <v>15</v>
      </c>
      <c r="G23" s="35">
        <v>8</v>
      </c>
      <c r="H23" s="35">
        <v>8</v>
      </c>
      <c r="I23" s="35">
        <v>8</v>
      </c>
    </row>
    <row r="24" spans="1:9" ht="27.75" customHeight="1" x14ac:dyDescent="0.3">
      <c r="A24" s="36" t="s">
        <v>127</v>
      </c>
      <c r="B24" s="37" t="s">
        <v>130</v>
      </c>
      <c r="C24" s="38" t="s">
        <v>131</v>
      </c>
      <c r="D24" s="40">
        <v>10</v>
      </c>
      <c r="E24" s="40">
        <v>10</v>
      </c>
      <c r="F24" s="40">
        <v>10</v>
      </c>
      <c r="G24" s="40">
        <v>20</v>
      </c>
      <c r="H24" s="40">
        <v>20</v>
      </c>
      <c r="I24" s="40">
        <v>20</v>
      </c>
    </row>
    <row r="25" spans="1:9" ht="27.75" customHeight="1" x14ac:dyDescent="0.3">
      <c r="A25" s="32" t="s">
        <v>127</v>
      </c>
      <c r="B25" s="33" t="s">
        <v>132</v>
      </c>
      <c r="C25" s="34" t="s">
        <v>133</v>
      </c>
      <c r="D25" s="35">
        <v>10</v>
      </c>
      <c r="E25" s="35">
        <v>10</v>
      </c>
      <c r="F25" s="35">
        <v>10</v>
      </c>
      <c r="G25" s="35">
        <v>5</v>
      </c>
      <c r="H25" s="35">
        <v>5</v>
      </c>
      <c r="I25" s="35">
        <v>5</v>
      </c>
    </row>
    <row r="26" spans="1:9" ht="25.5" customHeight="1" x14ac:dyDescent="0.3">
      <c r="A26" s="31"/>
      <c r="B26" s="31" t="s">
        <v>134</v>
      </c>
      <c r="C26" s="31"/>
      <c r="D26" s="42">
        <f t="shared" ref="D26:I26" si="0">SUM(D4:D25)</f>
        <v>585</v>
      </c>
      <c r="E26" s="42">
        <f t="shared" si="0"/>
        <v>509</v>
      </c>
      <c r="F26" s="42">
        <f t="shared" si="0"/>
        <v>531</v>
      </c>
      <c r="G26" s="42">
        <f t="shared" si="0"/>
        <v>976</v>
      </c>
      <c r="H26" s="42">
        <f t="shared" si="0"/>
        <v>833</v>
      </c>
      <c r="I26" s="42">
        <f t="shared" si="0"/>
        <v>845</v>
      </c>
    </row>
    <row r="27" spans="1:9" ht="25.5" customHeight="1" x14ac:dyDescent="0.3">
      <c r="A27" s="43"/>
      <c r="B27" s="43" t="s">
        <v>135</v>
      </c>
      <c r="C27" s="43"/>
      <c r="D27" s="44">
        <f>D26+E26+F26</f>
        <v>1625</v>
      </c>
      <c r="E27" s="43"/>
      <c r="F27" s="43"/>
      <c r="G27" s="44">
        <f>G26+H26+I26</f>
        <v>2654</v>
      </c>
      <c r="H27" s="43"/>
      <c r="I27" s="43"/>
    </row>
  </sheetData>
  <mergeCells count="7">
    <mergeCell ref="A18:I18"/>
    <mergeCell ref="A22:I22"/>
    <mergeCell ref="A1:H1"/>
    <mergeCell ref="A2:H2"/>
    <mergeCell ref="A4:I4"/>
    <mergeCell ref="A7:I7"/>
    <mergeCell ref="A12:I1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6"/>
  <sheetViews>
    <sheetView tabSelected="1" zoomScaleNormal="100" workbookViewId="0">
      <pane ySplit="2" topLeftCell="A3" activePane="bottomLeft" state="frozen"/>
      <selection pane="bottomLeft" activeCell="G3" sqref="G3"/>
    </sheetView>
  </sheetViews>
  <sheetFormatPr defaultColWidth="8.6640625" defaultRowHeight="14.4" x14ac:dyDescent="0.3"/>
  <cols>
    <col min="1" max="1" width="26" customWidth="1"/>
    <col min="2" max="3" width="42" customWidth="1"/>
    <col min="4" max="4" width="38" customWidth="1"/>
    <col min="5" max="6" width="10" customWidth="1"/>
    <col min="7" max="7" width="21.21875" customWidth="1"/>
  </cols>
  <sheetData>
    <row r="1" spans="1:7" ht="27.75" customHeight="1" x14ac:dyDescent="0.3">
      <c r="A1" s="5" t="s">
        <v>136</v>
      </c>
      <c r="B1" s="5"/>
      <c r="C1" s="5"/>
      <c r="D1" s="5"/>
      <c r="E1" s="5"/>
      <c r="F1" s="5"/>
    </row>
    <row r="2" spans="1:7" ht="36" customHeight="1" x14ac:dyDescent="0.3">
      <c r="A2" s="15" t="s">
        <v>137</v>
      </c>
      <c r="B2" s="15" t="s">
        <v>138</v>
      </c>
      <c r="C2" s="15" t="s">
        <v>139</v>
      </c>
      <c r="D2" s="15" t="s">
        <v>140</v>
      </c>
      <c r="E2" s="15" t="s">
        <v>141</v>
      </c>
      <c r="F2" s="15" t="s">
        <v>142</v>
      </c>
    </row>
    <row r="3" spans="1:7" ht="64.5" customHeight="1" x14ac:dyDescent="0.3">
      <c r="A3" s="32" t="s">
        <v>143</v>
      </c>
      <c r="B3" s="33" t="s">
        <v>144</v>
      </c>
      <c r="C3" s="33" t="s">
        <v>145</v>
      </c>
      <c r="D3" s="33" t="s">
        <v>146</v>
      </c>
      <c r="E3" s="45" t="s">
        <v>147</v>
      </c>
      <c r="F3" s="46" t="s">
        <v>148</v>
      </c>
    </row>
    <row r="4" spans="1:7" ht="64.5" customHeight="1" x14ac:dyDescent="0.3">
      <c r="A4" s="36" t="s">
        <v>149</v>
      </c>
      <c r="B4" s="37" t="s">
        <v>150</v>
      </c>
      <c r="C4" s="37" t="s">
        <v>151</v>
      </c>
      <c r="D4" s="37" t="s">
        <v>152</v>
      </c>
      <c r="E4" s="46" t="s">
        <v>148</v>
      </c>
      <c r="F4" s="47" t="s">
        <v>153</v>
      </c>
      <c r="G4" t="s">
        <v>238</v>
      </c>
    </row>
    <row r="5" spans="1:7" ht="64.5" customHeight="1" x14ac:dyDescent="0.3">
      <c r="A5" s="32" t="s">
        <v>154</v>
      </c>
      <c r="B5" s="33" t="s">
        <v>155</v>
      </c>
      <c r="C5" s="33" t="s">
        <v>156</v>
      </c>
      <c r="D5" s="33" t="s">
        <v>157</v>
      </c>
      <c r="E5" s="46" t="s">
        <v>148</v>
      </c>
      <c r="F5" s="45" t="s">
        <v>147</v>
      </c>
    </row>
    <row r="6" spans="1:7" ht="64.5" customHeight="1" x14ac:dyDescent="0.3">
      <c r="A6" s="36" t="s">
        <v>158</v>
      </c>
      <c r="B6" s="37" t="s">
        <v>159</v>
      </c>
      <c r="C6" s="37" t="s">
        <v>160</v>
      </c>
      <c r="D6" s="37" t="s">
        <v>161</v>
      </c>
      <c r="E6" s="47" t="s">
        <v>153</v>
      </c>
      <c r="F6" s="45" t="s">
        <v>147</v>
      </c>
    </row>
    <row r="7" spans="1:7" ht="64.5" customHeight="1" x14ac:dyDescent="0.3">
      <c r="A7" s="32" t="s">
        <v>162</v>
      </c>
      <c r="B7" s="33" t="s">
        <v>163</v>
      </c>
      <c r="C7" s="33" t="s">
        <v>164</v>
      </c>
      <c r="D7" s="33" t="s">
        <v>165</v>
      </c>
      <c r="E7" s="47" t="s">
        <v>153</v>
      </c>
      <c r="F7" s="46" t="s">
        <v>148</v>
      </c>
    </row>
    <row r="8" spans="1:7" ht="64.5" customHeight="1" x14ac:dyDescent="0.3">
      <c r="A8" s="36" t="s">
        <v>166</v>
      </c>
      <c r="B8" s="37" t="s">
        <v>167</v>
      </c>
      <c r="C8" s="37" t="s">
        <v>168</v>
      </c>
      <c r="D8" s="37" t="s">
        <v>169</v>
      </c>
      <c r="E8" s="47" t="s">
        <v>153</v>
      </c>
      <c r="F8" s="46" t="s">
        <v>148</v>
      </c>
    </row>
    <row r="9" spans="1:7" ht="64.5" customHeight="1" x14ac:dyDescent="0.3">
      <c r="A9" s="32" t="s">
        <v>170</v>
      </c>
      <c r="B9" s="33" t="s">
        <v>171</v>
      </c>
      <c r="C9" s="33" t="s">
        <v>172</v>
      </c>
      <c r="D9" s="33" t="s">
        <v>173</v>
      </c>
      <c r="E9" s="47" t="s">
        <v>153</v>
      </c>
      <c r="F9" s="46" t="s">
        <v>148</v>
      </c>
    </row>
    <row r="10" spans="1:7" ht="64.5" customHeight="1" x14ac:dyDescent="0.3">
      <c r="A10" s="36" t="s">
        <v>174</v>
      </c>
      <c r="B10" s="37" t="s">
        <v>175</v>
      </c>
      <c r="C10" s="37" t="s">
        <v>176</v>
      </c>
      <c r="D10" s="37" t="s">
        <v>177</v>
      </c>
      <c r="E10" s="45" t="s">
        <v>147</v>
      </c>
      <c r="F10" s="46" t="s">
        <v>148</v>
      </c>
    </row>
    <row r="11" spans="1:7" ht="64.5" customHeight="1" x14ac:dyDescent="0.3">
      <c r="A11" s="32" t="s">
        <v>178</v>
      </c>
      <c r="B11" s="33" t="s">
        <v>179</v>
      </c>
      <c r="C11" s="33" t="s">
        <v>180</v>
      </c>
      <c r="D11" s="33" t="s">
        <v>181</v>
      </c>
      <c r="E11" s="45" t="s">
        <v>147</v>
      </c>
      <c r="F11" s="46" t="s">
        <v>148</v>
      </c>
    </row>
    <row r="12" spans="1:7" ht="64.5" customHeight="1" x14ac:dyDescent="0.3">
      <c r="A12" s="36" t="s">
        <v>182</v>
      </c>
      <c r="B12" s="37" t="s">
        <v>183</v>
      </c>
      <c r="C12" s="37" t="s">
        <v>184</v>
      </c>
      <c r="D12" s="37" t="s">
        <v>185</v>
      </c>
      <c r="E12" s="47" t="s">
        <v>153</v>
      </c>
      <c r="F12" s="46" t="s">
        <v>148</v>
      </c>
    </row>
    <row r="13" spans="1:7" ht="64.5" customHeight="1" x14ac:dyDescent="0.3">
      <c r="A13" s="32" t="s">
        <v>186</v>
      </c>
      <c r="B13" s="33" t="s">
        <v>187</v>
      </c>
      <c r="C13" s="33" t="s">
        <v>188</v>
      </c>
      <c r="D13" s="33" t="s">
        <v>189</v>
      </c>
      <c r="E13" s="47" t="s">
        <v>153</v>
      </c>
      <c r="F13" s="46" t="s">
        <v>148</v>
      </c>
    </row>
    <row r="14" spans="1:7" ht="64.5" customHeight="1" x14ac:dyDescent="0.3">
      <c r="A14" s="36" t="s">
        <v>190</v>
      </c>
      <c r="B14" s="37" t="s">
        <v>191</v>
      </c>
      <c r="C14" s="37" t="s">
        <v>192</v>
      </c>
      <c r="D14" s="37" t="s">
        <v>193</v>
      </c>
      <c r="E14" s="46" t="s">
        <v>148</v>
      </c>
      <c r="F14" s="45" t="s">
        <v>147</v>
      </c>
    </row>
    <row r="15" spans="1:7" ht="64.5" customHeight="1" x14ac:dyDescent="0.3">
      <c r="A15" s="32" t="s">
        <v>194</v>
      </c>
      <c r="B15" s="33" t="s">
        <v>195</v>
      </c>
      <c r="C15" s="33" t="s">
        <v>196</v>
      </c>
      <c r="D15" s="33" t="s">
        <v>197</v>
      </c>
      <c r="E15" s="47" t="s">
        <v>153</v>
      </c>
      <c r="F15" s="46" t="s">
        <v>148</v>
      </c>
    </row>
    <row r="16" spans="1:7" ht="64.5" customHeight="1" x14ac:dyDescent="0.3">
      <c r="A16" s="36" t="s">
        <v>198</v>
      </c>
      <c r="B16" s="37" t="s">
        <v>199</v>
      </c>
      <c r="C16" s="37" t="s">
        <v>200</v>
      </c>
      <c r="D16" s="37" t="s">
        <v>201</v>
      </c>
      <c r="E16" s="46" t="s">
        <v>148</v>
      </c>
      <c r="F16" s="45" t="s">
        <v>147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0"/>
  <sheetViews>
    <sheetView zoomScaleNormal="100" workbookViewId="0"/>
  </sheetViews>
  <sheetFormatPr defaultColWidth="8.6640625" defaultRowHeight="14.4" x14ac:dyDescent="0.3"/>
  <cols>
    <col min="1" max="4" width="38" customWidth="1"/>
  </cols>
  <sheetData>
    <row r="1" spans="1:4" ht="27.75" customHeight="1" x14ac:dyDescent="0.3">
      <c r="A1" s="5" t="s">
        <v>202</v>
      </c>
      <c r="B1" s="5"/>
      <c r="C1" s="5"/>
      <c r="D1" s="5"/>
    </row>
    <row r="3" spans="1:4" ht="21.75" customHeight="1" x14ac:dyDescent="0.3">
      <c r="A3" s="2" t="s">
        <v>203</v>
      </c>
      <c r="B3" s="2"/>
      <c r="C3" s="2"/>
      <c r="D3" s="2"/>
    </row>
    <row r="4" spans="1:4" ht="21.75" customHeight="1" x14ac:dyDescent="0.3">
      <c r="A4" s="1" t="s">
        <v>204</v>
      </c>
      <c r="B4" s="1"/>
      <c r="C4" s="1"/>
      <c r="D4" s="1"/>
    </row>
    <row r="5" spans="1:4" ht="21.75" customHeight="1" x14ac:dyDescent="0.3">
      <c r="A5" s="48" t="s">
        <v>205</v>
      </c>
      <c r="B5" s="48"/>
      <c r="C5" s="48"/>
      <c r="D5" s="48"/>
    </row>
    <row r="6" spans="1:4" ht="21.75" customHeight="1" x14ac:dyDescent="0.3">
      <c r="A6" s="1" t="s">
        <v>206</v>
      </c>
      <c r="B6" s="1"/>
      <c r="C6" s="1"/>
      <c r="D6" s="1"/>
    </row>
    <row r="7" spans="1:4" ht="21.75" customHeight="1" x14ac:dyDescent="0.3">
      <c r="A7" s="48" t="s">
        <v>207</v>
      </c>
      <c r="B7" s="48"/>
      <c r="C7" s="48"/>
      <c r="D7" s="48"/>
    </row>
    <row r="8" spans="1:4" ht="21.75" customHeight="1" x14ac:dyDescent="0.3">
      <c r="A8" s="1" t="s">
        <v>208</v>
      </c>
      <c r="B8" s="1"/>
      <c r="C8" s="1"/>
      <c r="D8" s="1"/>
    </row>
    <row r="9" spans="1:4" ht="21.75" customHeight="1" x14ac:dyDescent="0.3">
      <c r="A9" s="48" t="s">
        <v>209</v>
      </c>
      <c r="B9" s="48"/>
      <c r="C9" s="48"/>
      <c r="D9" s="48"/>
    </row>
    <row r="11" spans="1:4" ht="21.75" customHeight="1" x14ac:dyDescent="0.3">
      <c r="A11" s="49" t="s">
        <v>210</v>
      </c>
      <c r="B11" s="49"/>
      <c r="C11" s="49"/>
      <c r="D11" s="49"/>
    </row>
    <row r="12" spans="1:4" ht="21.75" customHeight="1" x14ac:dyDescent="0.3">
      <c r="A12" s="1" t="s">
        <v>211</v>
      </c>
      <c r="B12" s="1"/>
      <c r="C12" s="1"/>
      <c r="D12" s="1"/>
    </row>
    <row r="13" spans="1:4" ht="21.75" customHeight="1" x14ac:dyDescent="0.3">
      <c r="A13" s="48" t="s">
        <v>212</v>
      </c>
      <c r="B13" s="48"/>
      <c r="C13" s="48"/>
      <c r="D13" s="48"/>
    </row>
    <row r="14" spans="1:4" ht="21.75" customHeight="1" x14ac:dyDescent="0.3">
      <c r="A14" s="1" t="s">
        <v>213</v>
      </c>
      <c r="B14" s="1"/>
      <c r="C14" s="1"/>
      <c r="D14" s="1"/>
    </row>
    <row r="15" spans="1:4" ht="21.75" customHeight="1" x14ac:dyDescent="0.3">
      <c r="A15" s="48" t="s">
        <v>214</v>
      </c>
      <c r="B15" s="48"/>
      <c r="C15" s="48"/>
      <c r="D15" s="48"/>
    </row>
    <row r="16" spans="1:4" ht="21.75" customHeight="1" x14ac:dyDescent="0.3">
      <c r="A16" s="1" t="s">
        <v>215</v>
      </c>
      <c r="B16" s="1"/>
      <c r="C16" s="1"/>
      <c r="D16" s="1"/>
    </row>
    <row r="17" spans="1:4" ht="21.75" customHeight="1" x14ac:dyDescent="0.3">
      <c r="A17" s="48" t="s">
        <v>216</v>
      </c>
      <c r="B17" s="48"/>
      <c r="C17" s="48"/>
      <c r="D17" s="48"/>
    </row>
    <row r="18" spans="1:4" ht="21.75" customHeight="1" x14ac:dyDescent="0.3">
      <c r="A18" s="1" t="s">
        <v>217</v>
      </c>
      <c r="B18" s="1"/>
      <c r="C18" s="1"/>
      <c r="D18" s="1"/>
    </row>
    <row r="20" spans="1:4" ht="21.75" customHeight="1" x14ac:dyDescent="0.3">
      <c r="A20" s="50" t="s">
        <v>218</v>
      </c>
      <c r="B20" s="50"/>
      <c r="C20" s="50"/>
      <c r="D20" s="50"/>
    </row>
    <row r="21" spans="1:4" ht="21.75" customHeight="1" x14ac:dyDescent="0.3">
      <c r="A21" s="48" t="s">
        <v>219</v>
      </c>
      <c r="B21" s="48"/>
      <c r="C21" s="48"/>
      <c r="D21" s="48"/>
    </row>
    <row r="22" spans="1:4" ht="21.75" customHeight="1" x14ac:dyDescent="0.3">
      <c r="A22" s="1" t="s">
        <v>220</v>
      </c>
      <c r="B22" s="1"/>
      <c r="C22" s="1"/>
      <c r="D22" s="1"/>
    </row>
    <row r="23" spans="1:4" ht="21.75" customHeight="1" x14ac:dyDescent="0.3">
      <c r="A23" s="48" t="s">
        <v>221</v>
      </c>
      <c r="B23" s="48"/>
      <c r="C23" s="48"/>
      <c r="D23" s="48"/>
    </row>
    <row r="24" spans="1:4" ht="21.75" customHeight="1" x14ac:dyDescent="0.3">
      <c r="A24" s="1" t="s">
        <v>222</v>
      </c>
      <c r="B24" s="1"/>
      <c r="C24" s="1"/>
      <c r="D24" s="1"/>
    </row>
    <row r="25" spans="1:4" ht="21.75" customHeight="1" x14ac:dyDescent="0.3">
      <c r="A25" s="48" t="s">
        <v>223</v>
      </c>
      <c r="B25" s="48"/>
      <c r="C25" s="48"/>
      <c r="D25" s="48"/>
    </row>
    <row r="26" spans="1:4" ht="21.75" customHeight="1" x14ac:dyDescent="0.3">
      <c r="A26" s="1" t="s">
        <v>224</v>
      </c>
      <c r="B26" s="1"/>
      <c r="C26" s="1"/>
      <c r="D26" s="1"/>
    </row>
    <row r="27" spans="1:4" ht="21.75" customHeight="1" x14ac:dyDescent="0.3">
      <c r="A27" s="48" t="s">
        <v>225</v>
      </c>
      <c r="B27" s="48"/>
      <c r="C27" s="48"/>
      <c r="D27" s="48"/>
    </row>
    <row r="28" spans="1:4" ht="21.75" customHeight="1" x14ac:dyDescent="0.3">
      <c r="A28" s="1" t="s">
        <v>226</v>
      </c>
      <c r="B28" s="1"/>
      <c r="C28" s="1"/>
      <c r="D28" s="1"/>
    </row>
    <row r="29" spans="1:4" ht="21.75" customHeight="1" x14ac:dyDescent="0.3">
      <c r="A29" s="48" t="s">
        <v>227</v>
      </c>
      <c r="B29" s="48"/>
      <c r="C29" s="48"/>
      <c r="D29" s="48"/>
    </row>
    <row r="30" spans="1:4" ht="21.75" customHeight="1" x14ac:dyDescent="0.3">
      <c r="A30" s="1" t="s">
        <v>228</v>
      </c>
      <c r="B30" s="1"/>
      <c r="C30" s="1"/>
      <c r="D30" s="1"/>
    </row>
    <row r="32" spans="1:4" ht="21.75" customHeight="1" x14ac:dyDescent="0.3">
      <c r="A32" s="51" t="s">
        <v>229</v>
      </c>
      <c r="B32" s="51"/>
      <c r="C32" s="51"/>
      <c r="D32" s="51"/>
    </row>
    <row r="33" spans="1:4" ht="21.75" customHeight="1" x14ac:dyDescent="0.3">
      <c r="A33" s="48" t="s">
        <v>230</v>
      </c>
      <c r="B33" s="48"/>
      <c r="C33" s="48"/>
      <c r="D33" s="48"/>
    </row>
    <row r="34" spans="1:4" ht="21.75" customHeight="1" x14ac:dyDescent="0.3">
      <c r="A34" s="1" t="s">
        <v>231</v>
      </c>
      <c r="B34" s="1"/>
      <c r="C34" s="1"/>
      <c r="D34" s="1"/>
    </row>
    <row r="35" spans="1:4" ht="21.75" customHeight="1" x14ac:dyDescent="0.3">
      <c r="A35" s="48" t="s">
        <v>232</v>
      </c>
      <c r="B35" s="48"/>
      <c r="C35" s="48"/>
      <c r="D35" s="48"/>
    </row>
    <row r="36" spans="1:4" ht="21.75" customHeight="1" x14ac:dyDescent="0.3">
      <c r="A36" s="1" t="s">
        <v>233</v>
      </c>
      <c r="B36" s="1"/>
      <c r="C36" s="1"/>
      <c r="D36" s="1"/>
    </row>
    <row r="37" spans="1:4" ht="21.75" customHeight="1" x14ac:dyDescent="0.3">
      <c r="A37" s="48" t="s">
        <v>234</v>
      </c>
      <c r="B37" s="48"/>
      <c r="C37" s="48"/>
      <c r="D37" s="48"/>
    </row>
    <row r="38" spans="1:4" ht="21.75" customHeight="1" x14ac:dyDescent="0.3">
      <c r="A38" s="1" t="s">
        <v>235</v>
      </c>
      <c r="B38" s="1"/>
      <c r="C38" s="1"/>
      <c r="D38" s="1"/>
    </row>
    <row r="39" spans="1:4" ht="21.75" customHeight="1" x14ac:dyDescent="0.3">
      <c r="A39" s="48" t="s">
        <v>236</v>
      </c>
      <c r="B39" s="48"/>
      <c r="C39" s="48"/>
      <c r="D39" s="48"/>
    </row>
    <row r="40" spans="1:4" ht="21.75" customHeight="1" x14ac:dyDescent="0.3">
      <c r="A40" s="1" t="s">
        <v>237</v>
      </c>
      <c r="B40" s="1"/>
      <c r="C40" s="1"/>
      <c r="D40" s="1"/>
    </row>
  </sheetData>
  <mergeCells count="36">
    <mergeCell ref="A40:D40"/>
    <mergeCell ref="A35:D35"/>
    <mergeCell ref="A36:D36"/>
    <mergeCell ref="A37:D37"/>
    <mergeCell ref="A38:D38"/>
    <mergeCell ref="A39:D39"/>
    <mergeCell ref="A29:D29"/>
    <mergeCell ref="A30:D30"/>
    <mergeCell ref="A32:D32"/>
    <mergeCell ref="A33:D33"/>
    <mergeCell ref="A34:D34"/>
    <mergeCell ref="A24:D24"/>
    <mergeCell ref="A25:D25"/>
    <mergeCell ref="A26:D26"/>
    <mergeCell ref="A27:D27"/>
    <mergeCell ref="A28:D28"/>
    <mergeCell ref="A18:D18"/>
    <mergeCell ref="A20:D20"/>
    <mergeCell ref="A21:D21"/>
    <mergeCell ref="A22:D22"/>
    <mergeCell ref="A23:D23"/>
    <mergeCell ref="A13:D13"/>
    <mergeCell ref="A14:D14"/>
    <mergeCell ref="A15:D15"/>
    <mergeCell ref="A16:D16"/>
    <mergeCell ref="A17:D17"/>
    <mergeCell ref="A7:D7"/>
    <mergeCell ref="A8:D8"/>
    <mergeCell ref="A9:D9"/>
    <mergeCell ref="A11:D11"/>
    <mergeCell ref="A12:D12"/>
    <mergeCell ref="A1:D1"/>
    <mergeCell ref="A3:D3"/>
    <mergeCell ref="A4:D4"/>
    <mergeCell ref="A5:D5"/>
    <mergeCell ref="A6:D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Scorecard</vt:lpstr>
      <vt:lpstr>3-Year TCO Model</vt:lpstr>
      <vt:lpstr>Detailed Analysis</vt:lpstr>
      <vt:lpstr>Decision Framework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ARUN KUMAR MOHAPATRA</cp:lastModifiedBy>
  <cp:revision>0</cp:revision>
  <dcterms:created xsi:type="dcterms:W3CDTF">2026-06-25T16:48:54Z</dcterms:created>
  <dcterms:modified xsi:type="dcterms:W3CDTF">2026-06-25T16:59:17Z</dcterms:modified>
  <dc:language>en-US</dc:language>
</cp:coreProperties>
</file>